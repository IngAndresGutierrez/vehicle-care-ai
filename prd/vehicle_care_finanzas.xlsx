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48e6c12194e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ITE" sheetId="1" r:id="R086b61d8138c40e4"/>
    <x:sheet xmlns:r="http://schemas.openxmlformats.org/officeDocument/2006/relationships" name="LEEME" sheetId="2" r:id="Rc4ab9f9705114815"/>
    <x:sheet xmlns:r="http://schemas.openxmlformats.org/officeDocument/2006/relationships" name="Mercado" sheetId="3" r:id="R3cb42c16b44e4bfc"/>
    <x:sheet xmlns:r="http://schemas.openxmlformats.org/officeDocument/2006/relationships" name="Supuestos" sheetId="4" r:id="R6c5fe93529114420"/>
    <x:sheet xmlns:r="http://schemas.openxmlformats.org/officeDocument/2006/relationships" name="Costos" sheetId="5" r:id="R546da6b456ac4872"/>
    <x:sheet xmlns:r="http://schemas.openxmlformats.org/officeDocument/2006/relationships" name="Pesimista" sheetId="6" r:id="R9e88f40f6b874f6b"/>
    <x:sheet xmlns:r="http://schemas.openxmlformats.org/officeDocument/2006/relationships" name="Base" sheetId="7" r:id="R048931969454489a"/>
    <x:sheet xmlns:r="http://schemas.openxmlformats.org/officeDocument/2006/relationships" name="Optimista" sheetId="8" r:id="R0bdb6a39dc4c498f"/>
    <x:sheet xmlns:r="http://schemas.openxmlformats.org/officeDocument/2006/relationships" name="Cohortes" sheetId="9" r:id="R81711d5e9d0b45dc"/>
    <x:sheet xmlns:r="http://schemas.openxmlformats.org/officeDocument/2006/relationships" name="Sensibilidad" sheetId="10" r:id="Rd08d525883b14e90"/>
    <x:sheet xmlns:r="http://schemas.openxmlformats.org/officeDocument/2006/relationships" name="Validacion" sheetId="11" r:id="R2d4fd9b44ad54385"/>
    <x:sheet xmlns:r="http://schemas.openxmlformats.org/officeDocument/2006/relationships" name="Fuentes" sheetId="12" r:id="R1eb30870d0c5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#,##0;[Red](#,##0);-"/>
    <x:numFmt numFmtId="202" formatCode="0.0;[Red](0.0);-"/>
    <x:numFmt numFmtId="203" formatCode="0.00"/>
  </x:numFmts>
  <x:fonts count="16">
    <x:font>
      <x:sz val="11"/>
      <x:name val="Carlito"/>
    </x:font>
    <x:font>
      <x:sz val="10"/>
      <x:name val="Carlito"/>
    </x:font>
    <x:font>
      <x:b/>
      <x:sz val="16"/>
      <x:color rgb="FFFFFFFF"/>
      <x:name val="Carlito"/>
    </x:font>
    <x:font>
      <x:sz val="10"/>
      <x:color rgb="FF65758B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  <x:font>
      <x:b/>
      <x:sz val="10"/>
      <x:name val="Carlito"/>
    </x:font>
    <x:font>
      <x:sz val="10"/>
      <x:color rgb="FF008000"/>
      <x:name val="Carlito"/>
    </x:font>
    <x:font>
      <x:b/>
      <x:sz val="10"/>
      <x:color rgb="FF008000"/>
      <x:name val="Carlito"/>
    </x:font>
    <x:font>
      <x:sz val="10"/>
      <x:color rgb="FF804E0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804E0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sz val="11"/>
      <x:color rgb="FF65758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53D"/>
      </x:patternFill>
    </x:fill>
    <x:fill>
      <x:patternFill patternType="solid">
        <x:fgColor rgb="FFEAF4F4"/>
      </x:patternFill>
    </x:fill>
    <x:fill>
      <x:patternFill patternType="solid">
        <x:fgColor rgb="FF117C78"/>
      </x:patternFill>
    </x:fill>
    <x:fill>
      <x:patternFill patternType="solid">
        <x:fgColor rgb="FFFFF2B0"/>
      </x:patternFill>
    </x:fill>
    <x:fill>
      <x:patternFill patternType="solid">
        <x:fgColor rgb="FFF4F7FA"/>
      </x:patternFill>
    </x:fill>
    <x:fill>
      <x:patternFill patternType="solid">
        <x:fgColor rgb="FFDDF1EC"/>
      </x:patternFill>
    </x:fill>
    <x:fill>
      <x:patternFill patternType="solid">
        <x:fgColor rgb="FFFFF6E8"/>
      </x:patternFill>
    </x:fill>
  </x:fills>
  <x:borders count="2">
    <x:border/>
    <x:border/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right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right"/>
    </x:xf>
    <x:xf numFmtId="200" fontId="5" fillId="5" borderId="0" xfId="0" applyNumberFormat="1" applyFont="1" applyFill="1" applyBorder="1" applyAlignment="1">
      <x:alignment horizontal="right"/>
    </x:xf>
    <x:xf numFmtId="200" fontId="5" fillId="5" borderId="1" xfId="0" applyNumberFormat="1" applyFont="1" applyFill="1" applyBorder="1" applyAlignment="1">
      <x:alignment horizontal="right"/>
    </x:xf>
    <x:xf numFmtId="201" fontId="5" fillId="5" borderId="0" xfId="0" applyNumberFormat="1" applyFont="1" applyFill="1" applyBorder="1" applyAlignment="1">
      <x:alignment horizontal="right"/>
    </x:xf>
    <x:xf numFmtId="201" fontId="5" fillId="5" borderId="1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1" fillId="0" borderId="0" xfId="0" applyNumberFormat="1" applyFont="1" applyFill="1" applyBorder="1"/>
    <x:xf numFmtId="201" fontId="4" fillId="2" borderId="0" xfId="0" applyNumberFormat="1" applyFont="1" applyFill="1" applyBorder="1"/>
    <x:xf numFmtId="201" fontId="5" fillId="0" borderId="1" xfId="0" applyNumberFormat="1" applyFont="1" applyFill="1" applyBorder="1"/>
    <x:xf numFmtId="201" fontId="1" fillId="0" borderId="1" xfId="0" applyNumberFormat="1" applyFont="1" applyFill="1" applyBorder="1"/>
    <x:xf numFmtId="201" fontId="4" fillId="2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1" fillId="3" borderId="0" xfId="0" applyNumberFormat="1" applyFont="1" applyFill="1" applyBorder="1"/>
    <x:xf numFmtId="201" fontId="1" fillId="3" borderId="1" xfId="0" applyNumberFormat="1" applyFont="1" applyFill="1" applyBorder="1"/>
    <x:xf numFmtId="0" fontId="6" fillId="3" borderId="0" xfId="0" applyNumberFormat="1" applyFont="1" applyFill="1" applyBorder="1"/>
    <x:xf numFmtId="201" fontId="6" fillId="3" borderId="0" xfId="0" applyNumberFormat="1" applyFont="1" applyFill="1" applyBorder="1"/>
    <x:xf numFmtId="0" fontId="6" fillId="3" borderId="1" xfId="0" applyNumberFormat="1" applyFont="1" applyFill="1" applyBorder="1"/>
    <x:xf numFmtId="201" fontId="6" fillId="3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6" borderId="0" xfId="0" applyNumberFormat="1" applyFont="1" applyFill="1" applyBorder="1"/>
    <x:xf numFmtId="200" fontId="1" fillId="6" borderId="1" xfId="0" applyNumberFormat="1" applyFont="1" applyFill="1" applyBorder="1"/>
    <x:xf numFmtId="201" fontId="1" fillId="6" borderId="0" xfId="0" applyNumberFormat="1" applyFont="1" applyFill="1" applyBorder="1"/>
    <x:xf numFmtId="201" fontId="1" fillId="6" borderId="1" xfId="0" applyNumberFormat="1" applyFont="1" applyFill="1" applyBorder="1"/>
    <x:xf numFmtId="201" fontId="7" fillId="6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0" fontId="7" fillId="6" borderId="0" xfId="0" applyNumberFormat="1" applyFont="1" applyFill="1" applyBorder="1"/>
    <x:xf numFmtId="201" fontId="7" fillId="6" borderId="1" xfId="0" applyNumberFormat="1" applyFont="1" applyFill="1" applyBorder="1"/>
    <x:xf numFmtId="200" fontId="7" fillId="0" borderId="1" xfId="0" applyNumberFormat="1" applyFont="1" applyFill="1" applyBorder="1"/>
    <x:xf numFmtId="201" fontId="7" fillId="0" borderId="1" xfId="0" applyNumberFormat="1" applyFont="1" applyFill="1" applyBorder="1"/>
    <x:xf numFmtId="200" fontId="7" fillId="6" borderId="1" xfId="0" applyNumberFormat="1" applyFont="1" applyFill="1" applyBorder="1"/>
    <x:xf numFmtId="201" fontId="7" fillId="3" borderId="0" xfId="0" applyNumberFormat="1" applyFont="1" applyFill="1" applyBorder="1"/>
    <x:xf numFmtId="201" fontId="7" fillId="3" borderId="1" xfId="0" applyNumberFormat="1" applyFont="1" applyFill="1" applyBorder="1"/>
    <x:xf numFmtId="201" fontId="8" fillId="3" borderId="0" xfId="0" applyNumberFormat="1" applyFont="1" applyFill="1" applyBorder="1"/>
    <x:xf numFmtId="201" fontId="8" fillId="3" borderId="1" xfId="0" applyNumberFormat="1" applyFont="1" applyFill="1" applyBorder="1"/>
    <x:xf numFmtId="0" fontId="1" fillId="7" borderId="0" xfId="0" applyNumberFormat="1" applyFont="1" applyFill="1" applyBorder="1"/>
    <x:xf numFmtId="201" fontId="1" fillId="7" borderId="0" xfId="0" applyNumberFormat="1" applyFont="1" applyFill="1" applyBorder="1"/>
    <x:xf numFmtId="201" fontId="7" fillId="7" borderId="0" xfId="0" applyNumberFormat="1" applyFont="1" applyFill="1" applyBorder="1"/>
    <x:xf numFmtId="0" fontId="1" fillId="7" borderId="1" xfId="0" applyNumberFormat="1" applyFont="1" applyFill="1" applyBorder="1"/>
    <x:xf numFmtId="201" fontId="1" fillId="7" borderId="1" xfId="0" applyNumberFormat="1" applyFont="1" applyFill="1" applyBorder="1"/>
    <x:xf numFmtId="201" fontId="7" fillId="7" borderId="1" xfId="0" applyNumberFormat="1" applyFont="1" applyFill="1" applyBorder="1"/>
    <x:xf numFmtId="0" fontId="6" fillId="7" borderId="0" xfId="0" applyNumberFormat="1" applyFont="1" applyFill="1" applyBorder="1"/>
    <x:xf numFmtId="201" fontId="6" fillId="7" borderId="0" xfId="0" applyNumberFormat="1" applyFont="1" applyFill="1" applyBorder="1"/>
    <x:xf numFmtId="201" fontId="8" fillId="7" borderId="0" xfId="0" applyNumberFormat="1" applyFont="1" applyFill="1" applyBorder="1"/>
    <x:xf numFmtId="0" fontId="6" fillId="7" borderId="1" xfId="0" applyNumberFormat="1" applyFont="1" applyFill="1" applyBorder="1"/>
    <x:xf numFmtId="201" fontId="6" fillId="7" borderId="1" xfId="0" applyNumberFormat="1" applyFont="1" applyFill="1" applyBorder="1"/>
    <x:xf numFmtId="201" fontId="8" fillId="7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201" fontId="0" fillId="0" borderId="0" xfId="0" applyNumberFormat="1" applyFont="1" applyFill="1" applyBorder="1"/>
    <x:xf numFmtId="201" fontId="11" fillId="3" borderId="0" xfId="0" applyNumberFormat="1" applyFont="1" applyFill="1" applyBorder="1"/>
    <x:xf numFmtId="201" fontId="10" fillId="2" borderId="0" xfId="0" applyNumberFormat="1" applyFont="1" applyFill="1" applyBorder="1"/>
    <x:xf numFmtId="201" fontId="4" fillId="4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  <x:xf numFmtId="201" fontId="11" fillId="3" borderId="1" xfId="0" applyNumberFormat="1" applyFont="1" applyFill="1" applyBorder="1"/>
    <x:xf numFmtId="201" fontId="10" fillId="2" borderId="1" xfId="0" applyNumberFormat="1" applyFont="1" applyFill="1" applyBorder="1"/>
    <x:xf numFmtId="201" fontId="4" fillId="4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0" fillId="8" borderId="1" xfId="0" applyNumberFormat="1" applyFont="1" applyFill="1" applyBorder="1"/>
    <x:xf numFmtId="0" fontId="12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2" fontId="1" fillId="0" borderId="1" xfId="0" applyNumberFormat="1" applyFont="1" applyFill="1" applyBorder="1"/>
    <x:xf numFmtId="200" fontId="1" fillId="4" borderId="0" xfId="0" applyNumberFormat="1" applyFont="1" applyFill="1" applyBorder="1"/>
    <x:xf numFmtId="200" fontId="4" fillId="4" borderId="0" xfId="0" applyNumberFormat="1" applyFont="1" applyFill="1" applyBorder="1"/>
    <x:xf numFmtId="200" fontId="1" fillId="4" borderId="1" xfId="0" applyNumberFormat="1" applyFont="1" applyFill="1" applyBorder="1"/>
    <x:xf numFmtId="200" fontId="4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13" fillId="0" borderId="0" xfId="0" applyNumberFormat="1" applyFont="1" applyFill="1" applyBorder="1"/>
    <x:xf numFmtId="200" fontId="13" fillId="0" borderId="0" xfId="0" applyNumberFormat="1" applyFont="1" applyFill="1" applyBorder="1"/>
    <x:xf numFmtId="203" fontId="13" fillId="0" borderId="0" xfId="0" applyNumberFormat="1" applyFont="1" applyFill="1" applyBorder="1"/>
    <x:xf numFmtId="201" fontId="13" fillId="0" borderId="1" xfId="0" applyNumberFormat="1" applyFont="1" applyFill="1" applyBorder="1"/>
    <x:xf numFmtId="200" fontId="13" fillId="0" borderId="1" xfId="0" applyNumberFormat="1" applyFont="1" applyFill="1" applyBorder="1"/>
    <x:xf numFmtId="203" fontId="13" fillId="0" borderId="1" xfId="0" applyNumberFormat="1" applyFont="1" applyFill="1" applyBorder="1"/>
    <x:xf numFmtId="201" fontId="13" fillId="3" borderId="0" xfId="0" applyNumberFormat="1" applyFont="1" applyFill="1" applyBorder="1"/>
    <x:xf numFmtId="200" fontId="13" fillId="3" borderId="0" xfId="0" applyNumberFormat="1" applyFont="1" applyFill="1" applyBorder="1"/>
    <x:xf numFmtId="203" fontId="13" fillId="3" borderId="0" xfId="0" applyNumberFormat="1" applyFont="1" applyFill="1" applyBorder="1"/>
    <x:xf numFmtId="201" fontId="13" fillId="3" borderId="1" xfId="0" applyNumberFormat="1" applyFont="1" applyFill="1" applyBorder="1"/>
    <x:xf numFmtId="200" fontId="13" fillId="3" borderId="1" xfId="0" applyNumberFormat="1" applyFont="1" applyFill="1" applyBorder="1"/>
    <x:xf numFmtId="203" fontId="13" fillId="3" borderId="1" xfId="0" applyNumberFormat="1" applyFont="1" applyFill="1" applyBorder="1"/>
    <x:xf numFmtId="201" fontId="14" fillId="3" borderId="0" xfId="0" applyNumberFormat="1" applyFont="1" applyFill="1" applyBorder="1"/>
    <x:xf numFmtId="200" fontId="14" fillId="3" borderId="0" xfId="0" applyNumberFormat="1" applyFont="1" applyFill="1" applyBorder="1"/>
    <x:xf numFmtId="203" fontId="14" fillId="3" borderId="0" xfId="0" applyNumberFormat="1" applyFont="1" applyFill="1" applyBorder="1"/>
    <x:xf numFmtId="201" fontId="14" fillId="3" borderId="1" xfId="0" applyNumberFormat="1" applyFont="1" applyFill="1" applyBorder="1"/>
    <x:xf numFmtId="200" fontId="14" fillId="3" borderId="1" xfId="0" applyNumberFormat="1" applyFont="1" applyFill="1" applyBorder="1"/>
    <x:xf numFmtId="203" fontId="1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200" fontId="0" fillId="7" borderId="1" xfId="0" applyNumberFormat="1" applyFont="1" applyFill="1" applyBorder="1"/>
    <x:xf numFmtId="0" fontId="0" fillId="7" borderId="1" xfId="0" applyNumberFormat="1" applyFont="1" applyFill="1" applyBorder="1"/>
    <x:xf numFmtId="201" fontId="0" fillId="7" borderId="1" xfId="0" applyNumberFormat="1" applyFont="1" applyFill="1" applyBorder="1"/>
    <x:xf numFmtId="0" fontId="15" fillId="0" borderId="0" xfId="0" applyNumberFormat="1" applyFont="1" applyFill="1" applyBorder="1"/>
    <x:xf numFmtId="0" fontId="15" fillId="0" borderId="1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3c4bc3a6945e2" /><Relationship Type="http://schemas.openxmlformats.org/officeDocument/2006/relationships/theme" Target="/xl/theme/theme1.xml" Id="Rf4c93c9c9f584486" /><Relationship Type="http://schemas.openxmlformats.org/officeDocument/2006/relationships/sharedStrings" Target="/xl/sharedStrings.xml" Id="R614f0629904a45a1" /><Relationship Type="http://schemas.openxmlformats.org/officeDocument/2006/relationships/worksheet" Target="/xl/worksheets/sheet1.xml" Id="R086b61d8138c40e4" /><Relationship Type="http://schemas.openxmlformats.org/officeDocument/2006/relationships/worksheet" Target="/xl/worksheets/sheet2.xml" Id="Rc4ab9f9705114815" /><Relationship Type="http://schemas.openxmlformats.org/officeDocument/2006/relationships/worksheet" Target="/xl/worksheets/sheet3.xml" Id="R3cb42c16b44e4bfc" /><Relationship Type="http://schemas.openxmlformats.org/officeDocument/2006/relationships/worksheet" Target="/xl/worksheets/sheet4.xml" Id="R6c5fe93529114420" /><Relationship Type="http://schemas.openxmlformats.org/officeDocument/2006/relationships/worksheet" Target="/xl/worksheets/sheet5.xml" Id="R546da6b456ac4872" /><Relationship Type="http://schemas.openxmlformats.org/officeDocument/2006/relationships/worksheet" Target="/xl/worksheets/sheet6.xml" Id="R9e88f40f6b874f6b" /><Relationship Type="http://schemas.openxmlformats.org/officeDocument/2006/relationships/worksheet" Target="/xl/worksheets/sheet7.xml" Id="R048931969454489a" /><Relationship Type="http://schemas.openxmlformats.org/officeDocument/2006/relationships/worksheet" Target="/xl/worksheets/sheet8.xml" Id="R0bdb6a39dc4c498f" /><Relationship Type="http://schemas.openxmlformats.org/officeDocument/2006/relationships/worksheet" Target="/xl/worksheets/sheet9.xml" Id="R81711d5e9d0b45dc" /><Relationship Type="http://schemas.openxmlformats.org/officeDocument/2006/relationships/worksheet" Target="/xl/worksheets/sheet10.xml" Id="Rd08d525883b14e90" /><Relationship Type="http://schemas.openxmlformats.org/officeDocument/2006/relationships/worksheet" Target="/xl/worksheets/sheet11.xml" Id="R2d4fd9b44ad54385" /><Relationship Type="http://schemas.openxmlformats.org/officeDocument/2006/relationships/worksheet" Target="/xl/worksheets/sheet12.xml" Id="R1eb30870d0c545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ee3ab100f648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Caja acumulada por escenario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Año 0</c:v>
          </c:tx>
          <c:marker>
            <c:symbol val="none"/>
          </c:marker>
          <c:cat>
            <c:strRef>
              <c:f>'COMITE'!$A$18:$A$20</c:f>
              <c:strCache>
                <c:ptCount val="0"/>
              </c:strCache>
            </c:strRef>
          </c:cat>
          <c:val>
            <c:numRef>
              <c:f>'COMITE'!$B$18:$B$20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Año 1</c:v>
          </c:tx>
          <c:marker>
            <c:symbol val="none"/>
          </c:marker>
          <c:cat>
            <c:strRef>
              <c:f>'COMITE'!$A$18:$A$20</c:f>
              <c:strCache>
                <c:ptCount val="0"/>
              </c:strCache>
            </c:strRef>
          </c:cat>
          <c:val>
            <c:numRef>
              <c:f>'COMITE'!$C$18:$C$20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Año 2</c:v>
          </c:tx>
          <c:marker>
            <c:symbol val="none"/>
          </c:marker>
          <c:cat>
            <c:strRef>
              <c:f>'COMITE'!$A$18:$A$20</c:f>
              <c:strCache>
                <c:ptCount val="0"/>
              </c:strCache>
            </c:strRef>
          </c:cat>
          <c:val>
            <c:numRef>
              <c:f>'COMITE'!$D$18:$D$20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Año 3</c:v>
          </c:tx>
          <c:marker>
            <c:symbol val="none"/>
          </c:marker>
          <c:cat>
            <c:strRef>
              <c:f>'COMITE'!$A$18:$A$20</c:f>
              <c:strCache>
                <c:ptCount val="0"/>
              </c:strCache>
            </c:strRef>
          </c:cat>
          <c:val>
            <c:numRef>
              <c:f>'COMITE'!$E$18:$E$20</c:f>
              <c:numCache>
                <c:formatCode>#,##0;[Red](#,##0);-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ee3ab100f648e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cf1cb26ffe45c3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9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19" hidden="0" customWidth="1"/>
    <x:col min="9" max="9" width="19" hidden="0" customWidth="1"/>
    <x:col min="10" max="10" width="14" hidden="0" customWidth="1"/>
    <x:col min="11" max="11" width="18" hidden="0" customWidth="1"/>
    <x:col min="12" max="12" width="38" hidden="0" customWidth="1"/>
  </x:cols>
  <x:sheetData>
    <x:row r="1" ht="38" customHeight="1">
      <x:c r="A1" s="6" t="str">
        <x:v>VEHICLE CARE  |  BUSINESS CASE 2027–2029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28" customHeight="1">
      <x:c r="A2" s="11" t="str">
        <x:v>Red ficticia de 8 sedes en Colombia · Solo mantenimiento postventa incremental · COP nominales · VPN a 15%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20" customHeight="1">
      <x:c r="A3" s="2"/>
      <x:c r="B3" s="2"/>
      <x:c r="C3" s="2"/>
      <x:c r="D3" s="2"/>
      <x:c r="E3" s="2"/>
      <x:c r="F3" s="2"/>
      <x:c r="G3" s="2"/>
    </x:row>
    <x:row r="4" ht="27" customHeight="1">
      <x:c r="A4" s="16" t="str">
        <x:v>Escenario</x:v>
      </x:c>
      <x:c r="B4" s="16" t="str">
        <x:v>CAPEX inicial</x:v>
      </x:c>
      <x:c r="C4" s="16" t="str">
        <x:v>Entregas en programa 3a</x:v>
      </x:c>
      <x:c r="D4" s="16" t="str">
        <x:v>OT adicionales 3a</x:v>
      </x:c>
      <x:c r="E4" s="16" t="str">
        <x:v>Ingreso adicional 3a</x:v>
      </x:c>
      <x:c r="F4" s="16" t="str">
        <x:v>Contribución taller 3a</x:v>
      </x:c>
      <x:c r="G4" s="16" t="str">
        <x:v>Costo total 3a*</x:v>
      </x:c>
      <x:c r="H4" s="16" t="str">
        <x:v>Neto 3a</x:v>
      </x:c>
      <x:c r="I4" s="16" t="str">
        <x:v>VPN 3a</x:v>
      </x:c>
      <x:c r="J4" s="16" t="str">
        <x:v>ROI 3a</x:v>
      </x:c>
      <x:c r="K4" s="16" t="str">
        <x:v>Payback (años)</x:v>
      </x:c>
      <x:c r="L4" s="16" t="str">
        <x:v>Lectura para comité</x:v>
      </x:c>
    </x:row>
    <x:row r="5" ht="36" customHeight="1">
      <x:c r="A5" s="2" t="str">
        <x:v>Pesimista</x:v>
      </x:c>
      <x:c r="B5" s="60" t="n">
        <x:f>Pesimista!B58</x:f>
        <x:v>91000000</x:v>
      </x:c>
      <x:c r="C5" s="60" t="n">
        <x:f>SUM(Pesimista!C7:E7)</x:f>
        <x:v>12960</x:v>
      </x:c>
      <x:c r="D5" s="60" t="n">
        <x:f>SUM(Pesimista!C26:E26)</x:f>
        <x:v>77.58382500000002</x:v>
      </x:c>
      <x:c r="E5" s="60" t="n">
        <x:f>SUM(Pesimista!C30:E30)</x:f>
        <x:v>25602662.250000004</x:v>
      </x:c>
      <x:c r="F5" s="60" t="n">
        <x:f>SUM(Pesimista!C32:E32)</x:f>
        <x:v>6400665.562500001</x:v>
      </x:c>
      <x:c r="G5" s="60" t="n">
        <x:f>Pesimista!B58+SUM(Pesimista!C54:E55)</x:f>
        <x:v>296272836.6955</x:v>
      </x:c>
      <x:c r="H5" s="128" t="n">
        <x:f>SUM(Pesimista!C59:E59)-Pesimista!B58</x:f>
        <x:v>-289872171.133</x:v>
      </x:c>
      <x:c r="I5" s="128" t="n">
        <x:f>SUM(Pesimista!B60:E60)</x:f>
        <x:v>-242450403.01394266</x:v>
      </x:c>
      <x:c r="J5" s="129" t="n">
        <x:f>IFERROR(H5/B5,0)</x:f>
        <x:v>-3.185408473989011</x:v>
      </x:c>
      <x:c r="K5" s="130" t="str">
        <x:f>IF(Pesimista!C61&gt;=0,-Pesimista!B61/Pesimista!C59,IF(Pesimista!D61&gt;=0,1-Pesimista!C61/Pesimista!D59,IF(Pesimista!E61&gt;=0,2-Pesimista!D61/Pesimista!E59,"No en 3 años")))</x:f>
        <x:v>No en 3 años</x:v>
      </x:c>
      <x:c r="L5" s="146" t="str">
        <x:f>IF(I5&gt;0,"VPN positivo sujeto a validación","VPN negativo: iterar o detener escala")</x:f>
        <x:v>VPN negativo: iterar o detener escala</x:v>
      </x:c>
    </x:row>
    <x:row r="6" ht="36" customHeight="1">
      <x:c r="A6" s="44" t="str">
        <x:v>Base</x:v>
      </x:c>
      <x:c r="B6" s="68" t="n">
        <x:f>Base!B58</x:f>
        <x:v>70000000</x:v>
      </x:c>
      <x:c r="C6" s="68" t="n">
        <x:f>SUM(Base!C7:E7)</x:f>
        <x:v>18218.88</x:v>
      </x:c>
      <x:c r="D6" s="68" t="n">
        <x:f>SUM(Base!C26:E26)</x:f>
        <x:v>1127.8071417600004</x:v>
      </x:c>
      <x:c r="E6" s="68" t="n">
        <x:f>SUM(Base!C30:E30)</x:f>
        <x:v>507513213.7920001</x:v>
      </x:c>
      <x:c r="F6" s="68" t="n">
        <x:f>SUM(Base!C32:E32)</x:f>
        <x:v>177629624.82720006</x:v>
      </x:c>
      <x:c r="G6" s="68" t="n">
        <x:f>Base!B58+SUM(Base!C54:E55)</x:f>
        <x:v>209463141.17286402</x:v>
      </x:c>
      <x:c r="H6" s="140" t="n">
        <x:f>SUM(Base!C59:E59)-Base!B58</x:f>
        <x:v>-31833516.345663965</x:v>
      </x:c>
      <x:c r="I6" s="140" t="n">
        <x:f>SUM(Base!B60:E60)</x:f>
        <x:v>-46735889.03600226</x:v>
      </x:c>
      <x:c r="J6" s="141" t="n">
        <x:f>IFERROR(H6/B6,0)</x:f>
        <x:v>-0.4547645192237709</x:v>
      </x:c>
      <x:c r="K6" s="142" t="str">
        <x:f>IF(Base!C61&gt;=0,-Base!B61/Base!C59,IF(Base!D61&gt;=0,1-Base!C61/Base!D59,IF(Base!E61&gt;=0,2-Base!D61/Base!E59,"No en 3 años")))</x:f>
        <x:v>No en 3 años</x:v>
      </x:c>
      <x:c r="L6" s="147" t="str">
        <x:f>IF(I6&gt;0,"VPN positivo sujeto a validación","VPN negativo: iterar o detener escala")</x:f>
        <x:v>VPN negativo: iterar o detener escala</x:v>
      </x:c>
    </x:row>
    <x:row r="7" ht="36" customHeight="1">
      <x:c r="A7" s="2" t="str">
        <x:v>Optimista</x:v>
      </x:c>
      <x:c r="B7" s="60" t="n">
        <x:f>Optimista!B58</x:f>
        <x:v>66500000</x:v>
      </x:c>
      <x:c r="C7" s="60" t="n">
        <x:f>SUM(Optimista!C7:E7)</x:f>
        <x:v>20609.280000000006</x:v>
      </x:c>
      <x:c r="D7" s="60" t="n">
        <x:f>SUM(Optimista!C26:E26)</x:f>
        <x:v>3434.317553664</x:v>
      </x:c>
      <x:c r="E7" s="60" t="n">
        <x:f>SUM(Optimista!C30:E30)</x:f>
        <x:v>1923217830.05184</x:v>
      </x:c>
      <x:c r="F7" s="60" t="n">
        <x:f>SUM(Optimista!C32:E32)</x:f>
        <x:v>807751488.6217728</x:v>
      </x:c>
      <x:c r="G7" s="60" t="n">
        <x:f>Optimista!B58+SUM(Optimista!C54:E55)</x:f>
        <x:v>246979021.8604544</x:v>
      </x:c>
      <x:c r="H7" s="128" t="n">
        <x:f>SUM(Optimista!C59:E59)-Optimista!B58</x:f>
        <x:v>560772466.7613184</x:v>
      </x:c>
      <x:c r="I7" s="128" t="n">
        <x:f>SUM(Optimista!B60:E60)</x:f>
        <x:v>386160963.9239686</x:v>
      </x:c>
      <x:c r="J7" s="129" t="n">
        <x:f>IFERROR(H7/B7,0)</x:f>
        <x:v>8.432668673102533</x:v>
      </x:c>
      <x:c r="K7" s="130" t="n">
        <x:f>IF(Optimista!C61&gt;=0,-Optimista!B61/Optimista!C59,IF(Optimista!D61&gt;=0,1-Optimista!C61/Optimista!D59,IF(Optimista!E61&gt;=0,2-Optimista!D61/Optimista!E59,"No en 3 años")))</x:f>
        <x:v>0.7895973678521001</x:v>
      </x:c>
      <x:c r="L7" s="146" t="str">
        <x:f>IF(I7&gt;0,"VPN positivo sujeto a validación","VPN negativo: iterar o detener escala")</x:f>
        <x:v>VPN positivo sujeto a validación</x:v>
      </x:c>
    </x:row>
    <x:row r="8" ht="20" customHeight="1">
      <x:c r="A8" s="2"/>
      <x:c r="B8" s="2"/>
      <x:c r="C8" s="2"/>
      <x:c r="D8" s="2"/>
      <x:c r="E8" s="2"/>
      <x:c r="F8" s="2"/>
      <x:c r="G8" s="2"/>
    </x:row>
    <x:row r="9" ht="20" customHeight="1">
      <x:c r="A9" s="2"/>
      <x:c r="B9" s="2"/>
      <x:c r="C9" s="2"/>
      <x:c r="D9" s="2"/>
      <x:c r="E9" s="2"/>
      <x:c r="F9" s="2"/>
      <x:c r="G9" s="2"/>
    </x:row>
    <x:row r="10" ht="24" customHeight="1">
      <x:c r="A10" s="30" t="str">
        <x:v>LECTURA ECONÓMICA DEL ESCENARIO BASE</x:v>
      </x:c>
      <x:c r="B10" s="30"/>
      <x:c r="C10" s="30"/>
      <x:c r="D10" s="30"/>
      <x:c r="E10" s="30"/>
      <x:c r="F10" s="30"/>
      <x:c r="G10" s="30"/>
      <x:c r="H10" s="96"/>
      <x:c r="I10" s="96"/>
      <x:c r="J10" s="96"/>
      <x:c r="K10" s="96"/>
      <x:c r="L10" s="96"/>
    </x:row>
    <x:row r="11" ht="30" customHeight="1">
      <x:c r="A11" s="70" t="str">
        <x:v>OT incrementales en 3 años</x:v>
      </x:c>
      <x:c r="B11" s="71" t="n">
        <x:f>D6</x:f>
        <x:v>1127.8071417600004</x:v>
      </x:c>
      <x:c r="C11" s="70"/>
      <x:c r="D11" s="70" t="str">
        <x:v>VPN base, COP</x:v>
      </x:c>
      <x:c r="E11" s="71" t="n">
        <x:f>I6</x:f>
        <x:v>-46735889.03600226</x:v>
      </x:c>
      <x:c r="F11" s="70"/>
      <x:c r="G11" s="70" t="str">
        <x:v>Punto equilibrio tratamiento</x:v>
      </x:c>
      <x:c r="H11" s="150" t="n">
        <x:f>Sensibilidad!B18</x:f>
        <x:v>0.5332292423910235</x:v>
      </x:c>
      <x:c r="I11" s="151"/>
      <x:c r="J11" s="151" t="str">
        <x:v>Modelo IA, COP/chat</x:v>
      </x:c>
      <x:c r="K11" s="152" t="n">
        <x:f>Costos!B30</x:f>
        <x:v>780.0000000000002</x:v>
      </x:c>
      <x:c r="L11" s="151"/>
    </x:row>
    <x:row r="12" ht="20" customHeight="1">
      <x:c r="A12" s="2"/>
      <x:c r="B12" s="2"/>
      <x:c r="C12" s="2"/>
      <x:c r="D12" s="2"/>
      <x:c r="E12" s="2"/>
      <x:c r="F12" s="2"/>
      <x:c r="G12" s="2"/>
    </x:row>
    <x:row r="13" ht="20" customHeight="1">
      <x:c r="A13" s="2"/>
      <x:c r="B13" s="2"/>
      <x:c r="C13" s="2"/>
      <x:c r="D13" s="2"/>
      <x:c r="E13" s="2"/>
      <x:c r="F13" s="2"/>
      <x:c r="G13" s="2"/>
    </x:row>
    <x:row r="14" ht="20" customHeight="1">
      <x:c r="A14" s="2"/>
      <x:c r="B14" s="2"/>
      <x:c r="C14" s="2"/>
      <x:c r="D14" s="2"/>
      <x:c r="E14" s="2"/>
      <x:c r="F14" s="2"/>
      <x:c r="G14" s="2"/>
    </x:row>
    <x:row r="15" ht="24" customHeight="1">
      <x:c r="A15" s="30" t="str">
        <x:v>CASH FLOW ACUMULADO (COP) — PARA IDENTIFICAR PAYBACK</x:v>
      </x:c>
      <x:c r="B15" s="30"/>
      <x:c r="C15" s="30"/>
      <x:c r="D15" s="30"/>
      <x:c r="E15" s="30"/>
      <x:c r="F15" s="30"/>
      <x:c r="G15" s="2"/>
    </x:row>
    <x:row r="16" ht="20" customHeight="1">
      <x:c r="A16" s="2"/>
      <x:c r="B16" s="2"/>
      <x:c r="C16" s="2"/>
      <x:c r="D16" s="2"/>
      <x:c r="E16" s="2"/>
      <x:c r="F16" s="2"/>
      <x:c r="G16" s="2"/>
    </x:row>
    <x:row r="17" ht="27" customHeight="1">
      <x:c r="A17" s="16" t="str">
        <x:v>Escenario</x:v>
      </x:c>
      <x:c r="B17" s="16" t="str">
        <x:v>Año 0</x:v>
      </x:c>
      <x:c r="C17" s="16" t="str">
        <x:v>Año 1</x:v>
      </x:c>
      <x:c r="D17" s="16" t="str">
        <x:v>Año 2</x:v>
      </x:c>
      <x:c r="E17" s="16" t="str">
        <x:v>Año 3</x:v>
      </x:c>
      <x:c r="F17" s="2"/>
      <x:c r="G17" s="2"/>
    </x:row>
    <x:row r="18" ht="20" customHeight="1">
      <x:c r="A18" s="2" t="str">
        <x:v>Pesimista</x:v>
      </x:c>
      <x:c r="B18" s="60" t="n">
        <x:f>Pesimista!B61</x:f>
        <x:v>-91000000</x:v>
      </x:c>
      <x:c r="C18" s="60" t="n">
        <x:f>Pesimista!C61</x:f>
        <x:v>-157780869.048</x:v>
      </x:c>
      <x:c r="D18" s="60" t="n">
        <x:f>Pesimista!D61</x:f>
        <x:v>-223968404.26700002</x:v>
      </x:c>
      <x:c r="E18" s="60" t="n">
        <x:f>Pesimista!E61</x:f>
        <x:v>-289872171.133</x:v>
      </x:c>
      <x:c r="F18" s="2"/>
      <x:c r="G18" s="2"/>
    </x:row>
    <x:row r="19" ht="20" customHeight="1">
      <x:c r="A19" s="2" t="str">
        <x:v>Base</x:v>
      </x:c>
      <x:c r="B19" s="60" t="n">
        <x:f>Base!B61</x:f>
        <x:v>-70000000</x:v>
      </x:c>
      <x:c r="C19" s="60" t="n">
        <x:f>Base!C61</x:f>
        <x:v>-85497037.98</x:v>
      </x:c>
      <x:c r="D19" s="60" t="n">
        <x:f>Base!D61</x:f>
        <x:v>-70742932.26944</x:v>
      </x:c>
      <x:c r="E19" s="60" t="n">
        <x:f>Base!E61</x:f>
        <x:v>-31833516.34566395</x:v>
      </x:c>
      <x:c r="F19" s="2"/>
      <x:c r="G19" s="2"/>
    </x:row>
    <x:row r="20" ht="20" customHeight="1">
      <x:c r="A20" s="2" t="str">
        <x:v>Optimista</x:v>
      </x:c>
      <x:c r="B20" s="60" t="n">
        <x:f>Optimista!B61</x:f>
        <x:v>-66500000</x:v>
      </x:c>
      <x:c r="C20" s="60" t="n">
        <x:f>Optimista!C61</x:f>
        <x:v>17720138.90559998</x:v>
      </x:c>
      <x:c r="D20" s="60" t="n">
        <x:f>Optimista!D61</x:f>
        <x:v>244435351.902208</x:v>
      </x:c>
      <x:c r="E20" s="60" t="n">
        <x:f>Optimista!E61</x:f>
        <x:v>560772466.7613184</x:v>
      </x:c>
      <x:c r="F20" s="2"/>
      <x:c r="G20" s="2"/>
    </x:row>
    <x:row r="21" ht="20" customHeight="1">
      <x:c r="A21" s="2"/>
      <x:c r="B21" s="2"/>
      <x:c r="C21" s="2"/>
      <x:c r="D21" s="2"/>
      <x:c r="E21" s="2"/>
      <x:c r="F21" s="2"/>
      <x:c r="G21" s="2"/>
    </x:row>
    <x:row r="22" ht="20" customHeight="1">
      <x:c r="A22" s="2"/>
      <x:c r="B22" s="2"/>
      <x:c r="C22" s="2"/>
      <x:c r="D22" s="2"/>
      <x:c r="E22" s="2"/>
      <x:c r="F22" s="2"/>
      <x:c r="G22" s="2"/>
    </x:row>
    <x:row r="23" ht="20" customHeight="1">
      <x:c r="A23" s="2"/>
      <x:c r="B23" s="2"/>
      <x:c r="C23" s="2"/>
      <x:c r="D23" s="2"/>
      <x:c r="E23" s="2"/>
      <x:c r="F23" s="2"/>
      <x:c r="G23" s="2"/>
    </x:row>
    <x:row r="24" ht="24" customHeight="1">
      <x:c r="A24" s="30" t="str">
        <x:v>DECISIONES QUE EL COMITÉ DEBE APROBAR</x:v>
      </x:c>
      <x:c r="B24" s="30"/>
      <x:c r="C24" s="30"/>
      <x:c r="D24" s="30"/>
      <x:c r="E24" s="30"/>
      <x:c r="F24" s="30"/>
      <x:c r="G24" s="30"/>
      <x:c r="H24" s="96"/>
      <x:c r="I24" s="96"/>
      <x:c r="J24" s="96"/>
      <x:c r="K24" s="96"/>
      <x:c r="L24" s="96"/>
    </x:row>
    <x:row r="25" ht="24" customHeight="1">
      <x:c r="A25" s="2" t="str">
        <x:v>1 · Validar tamaño red</x:v>
      </x:c>
      <x:c r="B25" s="82" t="str">
        <x:v>8 sedes × 75 usados/mes = 7.200 entregas base/año es completamente ficticio.</x:v>
      </x:c>
      <x:c r="C25" s="82"/>
      <x:c r="D25" s="82"/>
      <x:c r="E25" s="82"/>
      <x:c r="F25" s="82"/>
      <x:c r="G25" s="82"/>
      <x:c r="H25" s="156"/>
      <x:c r="I25" s="156"/>
      <x:c r="J25" s="156"/>
      <x:c r="K25" s="156"/>
      <x:c r="L25" s="156"/>
    </x:row>
    <x:row r="26" ht="24" customHeight="1">
      <x:c r="A26" s="2" t="str">
        <x:v>2 · Validar uplift</x:v>
      </x:c>
      <x:c r="B26" s="82" t="str">
        <x:v>El 22% control y 45% tratamiento NO son datos de Cox; requiere A/B y 180 días.</x:v>
      </x:c>
      <x:c r="C26" s="82"/>
      <x:c r="D26" s="82"/>
      <x:c r="E26" s="82"/>
      <x:c r="F26" s="82"/>
      <x:c r="G26" s="82"/>
      <x:c r="H26" s="156"/>
      <x:c r="I26" s="156"/>
      <x:c r="J26" s="156"/>
      <x:c r="K26" s="156"/>
      <x:c r="L26" s="156"/>
    </x:row>
    <x:row r="27" ht="24" customHeight="1">
      <x:c r="A27" s="2" t="str">
        <x:v>3 · Confirmar margen</x:v>
      </x:c>
      <x:c r="B27" s="82" t="str">
        <x:v>Ingreso neto IVA y margen de contribución operativo, no facturación como beneficio.</x:v>
      </x:c>
      <x:c r="C27" s="82"/>
      <x:c r="D27" s="82"/>
      <x:c r="E27" s="82"/>
      <x:c r="F27" s="82"/>
      <x:c r="G27" s="82"/>
      <x:c r="H27" s="156"/>
      <x:c r="I27" s="156"/>
      <x:c r="J27" s="156"/>
      <x:c r="K27" s="156"/>
      <x:c r="L27" s="156"/>
    </x:row>
    <x:row r="28" ht="24" customHeight="1">
      <x:c r="A28" s="2" t="str">
        <x:v>4 · Verificar capacidad</x:v>
      </x:c>
      <x:c r="B28" s="82" t="str">
        <x:v>El producto no debe desplazar OTs actuales. Capacidad real limita conversiones.</x:v>
      </x:c>
      <x:c r="C28" s="82"/>
      <x:c r="D28" s="82"/>
      <x:c r="E28" s="82"/>
      <x:c r="F28" s="82"/>
      <x:c r="G28" s="82"/>
      <x:c r="H28" s="156"/>
      <x:c r="I28" s="156"/>
      <x:c r="J28" s="156"/>
      <x:c r="K28" s="156"/>
      <x:c r="L28" s="156"/>
    </x:row>
    <x:row r="29" ht="24" customHeight="1">
      <x:c r="A29" s="2" t="str">
        <x:v>5 · No monetizar extras</x:v>
      </x:c>
      <x:c r="B29" s="82" t="str">
        <x:v>SOAT, seguros, recompra, RUNT, historial externo y eficiencia no demostrada = 0.</x:v>
      </x:c>
      <x:c r="C29" s="82"/>
      <x:c r="D29" s="82"/>
      <x:c r="E29" s="82"/>
      <x:c r="F29" s="82"/>
      <x:c r="G29" s="82"/>
      <x:c r="H29" s="156"/>
      <x:c r="I29" s="156"/>
      <x:c r="J29" s="156"/>
      <x:c r="K29" s="156"/>
      <x:c r="L29" s="156"/>
    </x:row>
    <x:row r="30" ht="24" customHeight="1">
      <x:c r="A30" s="2" t="str">
        <x:v>6 · Autorizar piloto</x:v>
      </x:c>
      <x:c r="B30" s="82" t="str">
        <x:v>Despliegue condicionado a consentimientos, seguridad, historial verificable y resultado económico.</x:v>
      </x:c>
      <x:c r="C30" s="82"/>
      <x:c r="D30" s="82"/>
      <x:c r="E30" s="82"/>
      <x:c r="F30" s="82"/>
      <x:c r="G30" s="82"/>
      <x:c r="H30" s="156"/>
      <x:c r="I30" s="156"/>
      <x:c r="J30" s="156"/>
      <x:c r="K30" s="156"/>
      <x:c r="L30" s="156"/>
    </x:row>
    <x:row r="31" ht="20" customHeight="1">
      <x:c r="A31" s="2"/>
      <x:c r="B31" s="2"/>
      <x:c r="C31" s="2"/>
      <x:c r="D31" s="2"/>
      <x:c r="E31" s="2"/>
      <x:c r="F31" s="2"/>
      <x:c r="G31" s="2"/>
    </x:row>
    <x:row r="32" ht="20" customHeight="1">
      <x:c r="A32" s="2"/>
      <x:c r="B32" s="2"/>
      <x:c r="C32" s="2"/>
      <x:c r="D32" s="2"/>
      <x:c r="E32" s="2"/>
      <x:c r="F32" s="2"/>
      <x:c r="G32" s="2"/>
    </x:row>
    <x:row r="33" ht="27" customHeight="1">
      <x:c r="A33" s="86" t="str">
        <x:v>* Costo total 3 años = CAPEX inicial + costos fijos anuales + IA + mensajes/BSP + handoffs. No incluye costos variables de las OTs: ya se descuentan del margen de contribución. VPN incorpora descuento anual. No se imputa valor terminal.</x:v>
      </x:c>
      <x:c r="B33" s="86"/>
      <x:c r="C33" s="86"/>
      <x:c r="D33" s="86"/>
      <x:c r="E33" s="86"/>
      <x:c r="F33" s="86"/>
      <x:c r="G33" s="86"/>
      <x:c r="H33" s="158"/>
      <x:c r="I33" s="158"/>
      <x:c r="J33" s="158"/>
      <x:c r="K33" s="158"/>
      <x:c r="L33" s="158"/>
    </x:row>
    <x:row r="34" ht="27" customHeight="1">
      <x:c r="A34" s="86"/>
      <x:c r="B34" s="86"/>
      <x:c r="C34" s="86"/>
      <x:c r="D34" s="86"/>
      <x:c r="E34" s="86"/>
      <x:c r="F34" s="86"/>
      <x:c r="G34" s="86"/>
      <x:c r="H34" s="158"/>
      <x:c r="I34" s="158"/>
      <x:c r="J34" s="158"/>
      <x:c r="K34" s="158"/>
      <x:c r="L34" s="158"/>
    </x:row>
    <x:row r="35" ht="20" customHeight="1">
      <x:c r="A35" s="2"/>
      <x:c r="B35" s="2"/>
      <x:c r="C35" s="2"/>
      <x:c r="D35" s="2"/>
      <x:c r="E35" s="2"/>
      <x:c r="F35" s="2"/>
      <x:c r="G35" s="2"/>
    </x:row>
    <x:row r="36" ht="20" customHeight="1">
      <x:c r="A36" s="2"/>
      <x:c r="B36" s="2"/>
      <x:c r="C36" s="2"/>
      <x:c r="D36" s="2"/>
      <x:c r="E36" s="2"/>
      <x:c r="F36" s="2"/>
      <x:c r="G36" s="2"/>
    </x:row>
    <x:row r="37" ht="20" customHeight="1">
      <x:c r="A37" s="2"/>
      <x:c r="B37" s="2"/>
      <x:c r="C37" s="2"/>
      <x:c r="D37" s="2"/>
      <x:c r="E37" s="2"/>
      <x:c r="F37" s="2"/>
      <x:c r="G37" s="2"/>
    </x:row>
    <x:row r="38" ht="20" customHeight="1">
      <x:c r="A38" s="2"/>
      <x:c r="B38" s="2"/>
      <x:c r="C38" s="2"/>
      <x:c r="D38" s="2"/>
      <x:c r="E38" s="2"/>
      <x:c r="F38" s="2"/>
      <x:c r="G38" s="2"/>
    </x:row>
    <x:row r="39" ht="20" customHeight="1">
      <x:c r="A39" s="2"/>
      <x:c r="B39" s="2"/>
      <x:c r="C39" s="2"/>
      <x:c r="D39" s="2"/>
      <x:c r="E39" s="2"/>
      <x:c r="F39" s="2"/>
      <x:c r="G39" s="2"/>
    </x:row>
    <x:row r="40" ht="20" customHeight="1">
      <x:c r="A40" s="2"/>
      <x:c r="B40" s="2"/>
      <x:c r="C40" s="2"/>
      <x:c r="D40" s="2"/>
      <x:c r="E40" s="2"/>
      <x:c r="F40" s="2"/>
      <x:c r="G40" s="2"/>
    </x:row>
    <x:row r="41" ht="20" customHeight="1">
      <x:c r="A41" s="2"/>
      <x:c r="B41" s="2"/>
      <x:c r="C41" s="2"/>
      <x:c r="D41" s="2"/>
      <x:c r="E41" s="2"/>
      <x:c r="F41" s="2"/>
      <x:c r="G41" s="2"/>
    </x:row>
    <x:row r="42" ht="20" customHeight="1">
      <x:c r="A42" s="2"/>
      <x:c r="B42" s="2"/>
      <x:c r="C42" s="2"/>
      <x:c r="D42" s="2"/>
      <x:c r="E42" s="2"/>
      <x:c r="F42" s="2"/>
      <x:c r="G42" s="2"/>
    </x:row>
    <x:row r="43" ht="20" customHeight="1">
      <x:c r="A43" s="2"/>
      <x:c r="B43" s="2"/>
      <x:c r="C43" s="2"/>
      <x:c r="D43" s="2"/>
      <x:c r="E43" s="2"/>
      <x:c r="F43" s="2"/>
      <x:c r="G43" s="2"/>
    </x:row>
    <x:row r="44" ht="20" customHeight="1">
      <x:c r="A44" s="2"/>
      <x:c r="B44" s="2"/>
      <x:c r="C44" s="2"/>
      <x:c r="D44" s="2"/>
      <x:c r="E44" s="2"/>
      <x:c r="F44" s="2"/>
      <x:c r="G44" s="2"/>
    </x:row>
    <x:row r="45" ht="20" customHeight="1">
      <x:c r="A45" s="2"/>
      <x:c r="B45" s="2"/>
      <x:c r="C45" s="2"/>
      <x:c r="D45" s="2"/>
      <x:c r="E45" s="2"/>
      <x:c r="F45" s="2"/>
      <x:c r="G45" s="2"/>
    </x:row>
    <x:row r="46" ht="20" customHeight="1">
      <x:c r="A46" s="2"/>
      <x:c r="B46" s="2"/>
      <x:c r="C46" s="2"/>
      <x:c r="D46" s="2"/>
      <x:c r="E46" s="2"/>
      <x:c r="F46" s="2"/>
      <x:c r="G46" s="2"/>
    </x:row>
    <x:row r="47" ht="20" customHeight="1">
      <x:c r="A47" s="2"/>
      <x:c r="B47" s="2"/>
      <x:c r="C47" s="2"/>
      <x:c r="D47" s="2"/>
      <x:c r="E47" s="2"/>
      <x:c r="F47" s="2"/>
      <x:c r="G47" s="2"/>
    </x:row>
    <x:row r="48" ht="20" customHeight="1">
      <x:c r="A48" s="2"/>
      <x:c r="B48" s="2"/>
      <x:c r="C48" s="2"/>
      <x:c r="D48" s="2"/>
      <x:c r="E48" s="2"/>
      <x:c r="F48" s="2"/>
      <x:c r="G48" s="2"/>
    </x:row>
    <x:row r="49" ht="20" customHeight="1">
      <x:c r="A49" s="2"/>
      <x:c r="B49" s="2"/>
      <x:c r="C49" s="2"/>
      <x:c r="D49" s="2"/>
      <x:c r="E49" s="2"/>
      <x:c r="F49" s="2"/>
      <x:c r="G49" s="2"/>
    </x:row>
    <x:row r="50" ht="20" customHeight="1">
      <x:c r="A50" s="2"/>
      <x:c r="B50" s="2"/>
      <x:c r="C50" s="2"/>
      <x:c r="D50" s="2"/>
      <x:c r="E50" s="2"/>
      <x:c r="F50" s="2"/>
      <x:c r="G50" s="2"/>
    </x:row>
    <x:row r="51" ht="20" customHeight="1">
      <x:c r="A51" s="2"/>
      <x:c r="B51" s="2"/>
      <x:c r="C51" s="2"/>
      <x:c r="D51" s="2"/>
      <x:c r="E51" s="2"/>
      <x:c r="F51" s="2"/>
      <x:c r="G51" s="2"/>
    </x:row>
    <x:row r="52" ht="20" customHeight="1">
      <x:c r="A52" s="2"/>
      <x:c r="B52" s="2"/>
      <x:c r="C52" s="2"/>
      <x:c r="D52" s="2"/>
      <x:c r="E52" s="2"/>
      <x:c r="F52" s="2"/>
      <x:c r="G52" s="2"/>
    </x:row>
    <x:row r="53" ht="20" customHeight="1">
      <x:c r="A53" s="2"/>
      <x:c r="B53" s="2"/>
      <x:c r="C53" s="2"/>
      <x:c r="D53" s="2"/>
      <x:c r="E53" s="2"/>
      <x:c r="F53" s="2"/>
      <x:c r="G53" s="2"/>
    </x:row>
    <x:row r="54" ht="20" customHeight="1">
      <x:c r="A54" s="2"/>
      <x:c r="B54" s="2"/>
      <x:c r="C54" s="2"/>
      <x:c r="D54" s="2"/>
      <x:c r="E54" s="2"/>
      <x:c r="F54" s="2"/>
      <x:c r="G54" s="2"/>
    </x:row>
    <x:row r="55" ht="20" customHeight="1">
      <x:c r="A55" s="2"/>
      <x:c r="B55" s="2"/>
      <x:c r="C55" s="2"/>
      <x:c r="D55" s="2"/>
      <x:c r="E55" s="2"/>
      <x:c r="F55" s="2"/>
      <x:c r="G55" s="2"/>
    </x:row>
    <x:row r="56" ht="20" customHeight="1">
      <x:c r="A56" s="2"/>
      <x:c r="B56" s="2"/>
      <x:c r="C56" s="2"/>
      <x:c r="D56" s="2"/>
      <x:c r="E56" s="2"/>
      <x:c r="F56" s="2"/>
      <x:c r="G56" s="2"/>
    </x:row>
    <x:row r="57" ht="20" customHeight="1">
      <x:c r="A57" s="2"/>
      <x:c r="B57" s="2"/>
      <x:c r="C57" s="2"/>
      <x:c r="D57" s="2"/>
      <x:c r="E57" s="2"/>
      <x:c r="F57" s="2"/>
      <x:c r="G57" s="2"/>
    </x:row>
    <x:row r="58" ht="20" customHeight="1">
      <x:c r="A58" s="2"/>
      <x:c r="B58" s="2"/>
      <x:c r="C58" s="2"/>
      <x:c r="D58" s="2"/>
      <x:c r="E58" s="2"/>
      <x:c r="F58" s="2"/>
      <x:c r="G58" s="2"/>
    </x:row>
    <x:row r="59" ht="20" customHeight="1">
      <x:c r="A59" s="2"/>
      <x:c r="B59" s="2"/>
      <x:c r="C59" s="2"/>
      <x:c r="D59" s="2"/>
      <x:c r="E59" s="2"/>
      <x:c r="F59" s="2"/>
      <x:c r="G59" s="2"/>
    </x:row>
    <x:row r="60" ht="20" customHeight="1">
      <x:c r="A60" s="2"/>
      <x:c r="B60" s="2"/>
      <x:c r="C60" s="2"/>
      <x:c r="D60" s="2"/>
      <x:c r="E60" s="2"/>
      <x:c r="F60" s="2"/>
      <x:c r="G60" s="2"/>
    </x:row>
    <x:row r="61" ht="20" customHeight="1">
      <x:c r="A61" s="2"/>
      <x:c r="B61" s="2"/>
      <x:c r="C61" s="2"/>
      <x:c r="D61" s="2"/>
      <x:c r="E61" s="2"/>
      <x:c r="F61" s="2"/>
      <x:c r="G61" s="2"/>
    </x:row>
    <x:row r="62" ht="20" customHeight="1">
      <x:c r="A62" s="2"/>
      <x:c r="B62" s="2"/>
      <x:c r="C62" s="2"/>
      <x:c r="D62" s="2"/>
      <x:c r="E62" s="2"/>
      <x:c r="F62" s="2"/>
      <x:c r="G62" s="2"/>
    </x:row>
    <x:row r="63" ht="20" customHeight="1">
      <x:c r="A63" s="2"/>
      <x:c r="B63" s="2"/>
      <x:c r="C63" s="2"/>
      <x:c r="D63" s="2"/>
      <x:c r="E63" s="2"/>
      <x:c r="F63" s="2"/>
      <x:c r="G63" s="2"/>
    </x:row>
    <x:row r="64" ht="20" customHeight="1">
      <x:c r="A64" s="2"/>
      <x:c r="B64" s="2"/>
      <x:c r="C64" s="2"/>
      <x:c r="D64" s="2"/>
      <x:c r="E64" s="2"/>
      <x:c r="F64" s="2"/>
      <x:c r="G64" s="2"/>
    </x:row>
    <x:row r="65" ht="20" customHeight="1">
      <x:c r="A65" s="2"/>
      <x:c r="B65" s="2"/>
      <x:c r="C65" s="2"/>
      <x:c r="D65" s="2"/>
      <x:c r="E65" s="2"/>
      <x:c r="F65" s="2"/>
      <x:c r="G65" s="2"/>
    </x:row>
    <x:row r="66" ht="20" customHeight="1">
      <x:c r="A66" s="2"/>
      <x:c r="B66" s="2"/>
      <x:c r="C66" s="2"/>
      <x:c r="D66" s="2"/>
      <x:c r="E66" s="2"/>
      <x:c r="F66" s="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L1"/>
    <x:mergeCell ref="A2:L2"/>
    <x:mergeCell ref="A10:L10"/>
    <x:mergeCell ref="A15:F15"/>
    <x:mergeCell ref="A24:L24"/>
    <x:mergeCell ref="B25:L25"/>
    <x:mergeCell ref="B26:L26"/>
    <x:mergeCell ref="B27:L27"/>
    <x:mergeCell ref="B28:L28"/>
    <x:mergeCell ref="B29:L29"/>
    <x:mergeCell ref="B30:L30"/>
    <x:mergeCell ref="A33:L34"/>
  </x:mergeCells>
  <x:pageMargins left="0.7" right="0.7" top="0.75" bottom="0.75" header="0.3" footer="0.3"/>
  <x:drawing xmlns:r="http://schemas.openxmlformats.org/officeDocument/2006/relationships" r:id="R96cf1cb26ffe45c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38" customHeight="1">
      <x:c r="A1" s="6" t="str">
        <x:v>GUÍA  |  CÓMO LEER Y DEFENDER EL MODELO</x:v>
      </x:c>
      <x:c r="B1" s="6"/>
      <x:c r="C1" s="6"/>
      <x:c r="D1" s="6"/>
      <x:c r="E1" s="6"/>
      <x:c r="F1" s="6"/>
      <x:c r="G1" s="6"/>
    </x:row>
    <x:row r="2" ht="28" customHeight="1">
      <x:c r="A2" s="11" t="str">
        <x:v>Entregable 03 · Simulación reproducible para comité · Versión final de la prueba · 28 octubre 2026</x:v>
      </x:c>
      <x:c r="B2" s="11"/>
      <x:c r="C2" s="11"/>
      <x:c r="D2" s="11"/>
      <x:c r="E2" s="11"/>
      <x:c r="F2" s="11"/>
      <x:c r="G2" s="11"/>
    </x:row>
    <x:row r="3" ht="20" customHeight="1">
      <x:c r="A3" s="2"/>
      <x:c r="B3" s="2"/>
      <x:c r="C3" s="2"/>
      <x:c r="D3" s="2"/>
      <x:c r="E3" s="2"/>
      <x:c r="F3" s="2"/>
      <x:c r="G3" s="2"/>
    </x:row>
    <x:row r="4" ht="24" customHeight="1">
      <x:c r="A4" s="30" t="str">
        <x:v>1. ORDEN DE LECTURA</x:v>
      </x:c>
      <x:c r="B4" s="30"/>
      <x:c r="C4" s="30"/>
      <x:c r="D4" s="30"/>
      <x:c r="E4" s="30"/>
      <x:c r="F4" s="30"/>
      <x:c r="G4" s="30"/>
    </x:row>
    <x:row r="5" ht="20" customHeight="1">
      <x:c r="A5" s="2" t="str">
        <x:v>COMITE</x:v>
      </x:c>
      <x:c r="B5" s="2" t="str">
        <x:v>Tabla de resultado: ventas, contribución, cashflows, VPN y payback.</x:v>
      </x:c>
      <x:c r="C5" s="2"/>
      <x:c r="D5" s="2"/>
      <x:c r="E5" s="2"/>
      <x:c r="F5" s="2"/>
      <x:c r="G5" s="2"/>
    </x:row>
    <x:row r="6" ht="20" customHeight="1">
      <x:c r="A6" s="2" t="str">
        <x:v>Mercado</x:v>
      </x:c>
      <x:c r="B6" s="2" t="str">
        <x:v>RUNT 2025; proxies TAM/SAM, SOM de la red propia SIN aplicar cuota nacional al funnel.</x:v>
      </x:c>
      <x:c r="C6" s="2"/>
      <x:c r="D6" s="2"/>
      <x:c r="E6" s="2"/>
      <x:c r="F6" s="2"/>
      <x:c r="G6" s="2"/>
    </x:row>
    <x:row r="7" ht="20" customHeight="1">
      <x:c r="A7" s="2" t="str">
        <x:v>Supuestos</x:v>
      </x:c>
      <x:c r="B7" s="2" t="str">
        <x:v>Entradas editables por escenario (azul + amarillo); SEDES constantes.</x:v>
      </x:c>
      <x:c r="C7" s="2"/>
      <x:c r="D7" s="2"/>
      <x:c r="E7" s="2"/>
      <x:c r="F7" s="2"/>
      <x:c r="G7" s="2"/>
    </x:row>
    <x:row r="8" ht="20" customHeight="1">
      <x:c r="A8" s="2" t="str">
        <x:v>Costos</x:v>
      </x:c>
      <x:c r="B8" s="2" t="str">
        <x:v>CAPEX y OPEX detallados; cálculo de IA por tokens del modelo + FX editable.</x:v>
      </x:c>
      <x:c r="C8" s="2"/>
      <x:c r="D8" s="2"/>
      <x:c r="E8" s="2"/>
      <x:c r="F8" s="2"/>
      <x:c r="G8" s="2"/>
    </x:row>
    <x:row r="9" ht="20" customHeight="1">
      <x:c r="A9" s="2" t="str">
        <x:v>Pesimista / Base / Optimista</x:v>
      </x:c>
      <x:c r="B9" s="2" t="str">
        <x:v>Mismo motor de cálculo en 2027–2029, comparado con contrafactual control.</x:v>
      </x:c>
      <x:c r="C9" s="2"/>
      <x:c r="D9" s="2"/>
      <x:c r="E9" s="2"/>
      <x:c r="F9" s="2"/>
      <x:c r="G9" s="2"/>
    </x:row>
    <x:row r="10" ht="20" customHeight="1">
      <x:c r="A10" s="2" t="str">
        <x:v>Cohortes</x:v>
      </x:c>
      <x:c r="B10" s="2" t="str">
        <x:v>Prueba de 75% mismo año / 25% siguiente, sin doble contabilización.</x:v>
      </x:c>
      <x:c r="C10" s="2"/>
      <x:c r="D10" s="2"/>
      <x:c r="E10" s="2"/>
      <x:c r="F10" s="2"/>
      <x:c r="G10" s="2"/>
    </x:row>
    <x:row r="11" ht="20" customHeight="1">
      <x:c r="A11" s="2" t="str">
        <x:v>Sensibilidad</x:v>
      </x:c>
      <x:c r="B11" s="2" t="str">
        <x:v>VPN vs conversión, margen y capacidad; punto de equilibrio aproximado.</x:v>
      </x:c>
      <x:c r="C11" s="2"/>
      <x:c r="D11" s="2"/>
      <x:c r="E11" s="2"/>
      <x:c r="F11" s="2"/>
      <x:c r="G11" s="2"/>
    </x:row>
    <x:row r="12" ht="20" customHeight="1">
      <x:c r="A12" s="2" t="str">
        <x:v>Validacion</x:v>
      </x:c>
      <x:c r="B12" s="2" t="str">
        <x:v>Experimentos y compuertas 6 meses; requisitos antes de escalar.</x:v>
      </x:c>
      <x:c r="C12" s="2"/>
      <x:c r="D12" s="2"/>
      <x:c r="E12" s="2"/>
      <x:c r="F12" s="2"/>
      <x:c r="G12" s="2"/>
    </x:row>
    <x:row r="13" ht="20" customHeight="1">
      <x:c r="A13" s="2" t="str">
        <x:v>Fuentes</x:v>
      </x:c>
      <x:c r="B13" s="2" t="str">
        <x:v>Links y límites de aplicación de fuentes reales; resto marcado como hipótesis.</x:v>
      </x:c>
      <x:c r="C13" s="2"/>
      <x:c r="D13" s="2"/>
      <x:c r="E13" s="2"/>
      <x:c r="F13" s="2"/>
      <x:c r="G13" s="2"/>
    </x:row>
    <x:row r="14" ht="20" customHeight="1">
      <x:c r="A14" s="2"/>
      <x:c r="B14" s="2"/>
      <x:c r="C14" s="2"/>
      <x:c r="D14" s="2"/>
      <x:c r="E14" s="2"/>
      <x:c r="F14" s="2"/>
      <x:c r="G14" s="2"/>
    </x:row>
    <x:row r="15" ht="20" customHeight="1">
      <x:c r="A15" s="2"/>
      <x:c r="B15" s="2"/>
      <x:c r="C15" s="2"/>
      <x:c r="D15" s="2"/>
      <x:c r="E15" s="2"/>
      <x:c r="F15" s="2"/>
      <x:c r="G15" s="2"/>
    </x:row>
    <x:row r="16" ht="24" customHeight="1">
      <x:c r="A16" s="30" t="str">
        <x:v>2. LÓGICA FINANCIERA Y REGLAS DEL MODELO</x:v>
      </x:c>
      <x:c r="B16" s="30"/>
      <x:c r="C16" s="30"/>
      <x:c r="D16" s="30"/>
      <x:c r="E16" s="30"/>
      <x:c r="F16" s="30"/>
      <x:c r="G16" s="30"/>
    </x:row>
    <x:row r="17" ht="20" customHeight="1">
      <x:c r="A17" s="2" t="str">
        <x:v>Funnel</x:v>
      </x:c>
      <x:c r="B17" s="2" t="str">
        <x:v>Entregas × cobertura × necesidad × calidad datos × opt-in × contactabilidad.</x:v>
      </x:c>
      <x:c r="C17" s="2"/>
      <x:c r="D17" s="2"/>
      <x:c r="E17" s="2"/>
      <x:c r="F17" s="2"/>
      <x:c r="G17" s="2"/>
    </x:row>
    <x:row r="18" ht="20" customHeight="1">
      <x:c r="A18" s="2" t="str">
        <x:v>Cohorte</x:v>
      </x:c>
      <x:c r="B18" s="2" t="str">
        <x:v>Oportunidades 2027 = 75% cohorte 2027; 2028 = 75% 2028 +25% 2027.</x:v>
      </x:c>
      <x:c r="C18" s="2"/>
      <x:c r="D18" s="2"/>
      <x:c r="E18" s="2"/>
      <x:c r="F18" s="2"/>
      <x:c r="G18" s="2"/>
    </x:row>
    <x:row r="19" ht="20" customHeight="1">
      <x:c r="A19" s="2" t="str">
        <x:v>Incrementalidad</x:v>
      </x:c>
      <x:c r="B19" s="2" t="str">
        <x:v>Servicios adicionales = MAX(0; tratamiento − control) sobre la MISMA base atendible.</x:v>
      </x:c>
      <x:c r="C19" s="2"/>
      <x:c r="D19" s="2"/>
      <x:c r="E19" s="2"/>
      <x:c r="F19" s="2"/>
      <x:c r="G19" s="2"/>
    </x:row>
    <x:row r="20" ht="20" customHeight="1">
      <x:c r="A20" s="2" t="str">
        <x:v>Restricción</x:v>
      </x:c>
      <x:c r="B20" s="2" t="str">
        <x:v>OT capturadas = MÍN(demanda incremental; cupos extra no desplazados).</x:v>
      </x:c>
      <x:c r="C20" s="2"/>
      <x:c r="D20" s="2"/>
      <x:c r="E20" s="2"/>
      <x:c r="F20" s="2"/>
      <x:c r="G20" s="2"/>
    </x:row>
    <x:row r="21" ht="20" customHeight="1">
      <x:c r="A21" s="2" t="str">
        <x:v>Contribución</x:v>
      </x:c>
      <x:c r="B21" s="2" t="str">
        <x:v>Ingreso neto de IVA × margen contribución después de repuestos / mano de obra variable.</x:v>
      </x:c>
      <x:c r="C21" s="2"/>
      <x:c r="D21" s="2"/>
      <x:c r="E21" s="2"/>
      <x:c r="F21" s="2"/>
      <x:c r="G21" s="2"/>
    </x:row>
    <x:row r="22" ht="20" customHeight="1">
      <x:c r="A22" s="2" t="str">
        <x:v>Operación</x:v>
      </x:c>
      <x:c r="B22" s="2" t="str">
        <x:v>Costo LLM tokens + mensaje/BSP + handoff + costos fijos; eficiencia =0 salvo evidencia.</x:v>
      </x:c>
      <x:c r="C22" s="2"/>
      <x:c r="D22" s="2"/>
      <x:c r="E22" s="2"/>
      <x:c r="F22" s="2"/>
      <x:c r="G22" s="2"/>
    </x:row>
    <x:row r="23" ht="20" customHeight="1">
      <x:c r="A23" s="2" t="str">
        <x:v>Inversión</x:v>
      </x:c>
      <x:c r="B23" s="2" t="str">
        <x:v>Pago inicial en Año 0; 3 flujos anuales posteriores, sin valor terminal.</x:v>
      </x:c>
      <x:c r="C23" s="2"/>
      <x:c r="D23" s="2"/>
      <x:c r="E23" s="2"/>
      <x:c r="F23" s="2"/>
      <x:c r="G23" s="2"/>
    </x:row>
    <x:row r="24" ht="20" customHeight="1">
      <x:c r="A24" s="2" t="str">
        <x:v>VPN</x:v>
      </x:c>
      <x:c r="B24" s="2" t="str">
        <x:v>∑ CF_t/(1+r)^t; descuento aplicado a años 1–3.</x:v>
      </x:c>
      <x:c r="C24" s="2"/>
      <x:c r="D24" s="2"/>
      <x:c r="E24" s="2"/>
      <x:c r="F24" s="2"/>
      <x:c r="G24" s="2"/>
    </x:row>
    <x:row r="25" ht="20" customHeight="1">
      <x:c r="A25" s="2" t="str">
        <x:v>Payback</x:v>
      </x:c>
      <x:c r="B25" s="2" t="str">
        <x:v>Recuperación no descontada interpolando dentro del año; 'No en 3 años' si no cruza cero.</x:v>
      </x:c>
      <x:c r="C25" s="2"/>
      <x:c r="D25" s="2"/>
      <x:c r="E25" s="2"/>
      <x:c r="F25" s="2"/>
      <x:c r="G25" s="2"/>
    </x:row>
    <x:row r="26" ht="20" customHeight="1">
      <x:c r="A26" s="2" t="str">
        <x:v>ROI</x:v>
      </x:c>
      <x:c r="B26" s="2" t="str">
        <x:v>Neto acumulado sin descuento / CAPEX (no es rentabilidad sobre ingresos).</x:v>
      </x:c>
      <x:c r="C26" s="2"/>
      <x:c r="D26" s="2"/>
      <x:c r="E26" s="2"/>
      <x:c r="F26" s="2"/>
      <x:c r="G26" s="2"/>
    </x:row>
    <x:row r="27" ht="20" customHeight="1">
      <x:c r="A27" s="2"/>
      <x:c r="B27" s="2"/>
      <x:c r="C27" s="2"/>
      <x:c r="D27" s="2"/>
      <x:c r="E27" s="2"/>
      <x:c r="F27" s="2"/>
      <x:c r="G27" s="2"/>
    </x:row>
    <x:row r="28" ht="20" customHeight="1">
      <x:c r="A28" s="2"/>
      <x:c r="B28" s="2"/>
      <x:c r="C28" s="2"/>
      <x:c r="D28" s="2"/>
      <x:c r="E28" s="2"/>
      <x:c r="F28" s="2"/>
      <x:c r="G28" s="2"/>
    </x:row>
    <x:row r="29" ht="24" customHeight="1">
      <x:c r="A29" s="30" t="str">
        <x:v>3. CONSIDERACIONES DE INTERPRETACIÓN</x:v>
      </x:c>
      <x:c r="B29" s="30"/>
      <x:c r="C29" s="30"/>
      <x:c r="D29" s="30"/>
      <x:c r="E29" s="30"/>
      <x:c r="F29" s="30"/>
      <x:c r="G29" s="30"/>
    </x:row>
    <x:row r="30" ht="28" customHeight="1">
      <x:c r="A30" s="2" t="str">
        <x:v>• Las tasas del funnel y los montos COP son hipótesis ficticias de modelado, no resultados reales del mercado colombiano.</x:v>
      </x:c>
      <x:c r="B30" s="2"/>
      <x:c r="C30" s="2"/>
      <x:c r="D30" s="2"/>
      <x:c r="E30" s="2"/>
      <x:c r="F30" s="2"/>
      <x:c r="G30" s="2"/>
    </x:row>
    <x:row r="31" ht="28" customHeight="1">
      <x:c r="A31" s="2" t="str">
        <x:v>• 2027–2029 son periodos hipotéticos de evaluación; 2025 RUNT sirve de contexto, NO de predicción de unidades 2027.</x:v>
      </x:c>
      <x:c r="B31" s="2"/>
      <x:c r="C31" s="2"/>
      <x:c r="D31" s="2"/>
      <x:c r="E31" s="2"/>
      <x:c r="F31" s="2"/>
      <x:c r="G31" s="2"/>
    </x:row>
    <x:row r="32" ht="28" customHeight="1">
      <x:c r="A32" s="2" t="str">
        <x:v>• El escenario base puede tener VPN negativo. No se fuerza una rentabilidad deseada.</x:v>
      </x:c>
      <x:c r="B32" s="2"/>
      <x:c r="C32" s="2"/>
      <x:c r="D32" s="2"/>
      <x:c r="E32" s="2"/>
      <x:c r="F32" s="2"/>
      <x:c r="G32" s="2"/>
    </x:row>
    <x:row r="33" ht="28" customHeight="1">
      <x:c r="A33" s="2" t="str">
        <x:v>• El ahorro de tiempo no monetizado (0%) y la recompra/seguros/SOAT (0 COP) evitan beneficios especulativos.</x:v>
      </x:c>
      <x:c r="B33" s="2"/>
      <x:c r="C33" s="2"/>
      <x:c r="D33" s="2"/>
      <x:c r="E33" s="2"/>
      <x:c r="F33" s="2"/>
      <x:c r="G33" s="2"/>
    </x:row>
    <x:row r="34" ht="28" customHeight="1">
      <x:c r="A34" s="2" t="str">
        <x:v>• No incluye impuestos corporativos, deuda, amortizaciones, inflación, capital de trabajo ni valor terminal; VPN operacional pre-impuestos.</x:v>
      </x:c>
      <x:c r="B34" s="2"/>
      <x:c r="C34" s="2"/>
      <x:c r="D34" s="2"/>
      <x:c r="E34" s="2"/>
      <x:c r="F34" s="2"/>
      <x:c r="G34" s="2"/>
    </x:row>
    <x:row r="35" ht="28" customHeight="1">
      <x:c r="A35" s="2" t="str">
        <x:v>• Un piloto de 6 meses NO demuestra por sí solo retención a 180 días de todas sus cohortes; monitorizar maduración.</x:v>
      </x:c>
      <x:c r="B35" s="2"/>
      <x:c r="C35" s="2"/>
      <x:c r="D35" s="2"/>
      <x:c r="E35" s="2"/>
      <x:c r="F35" s="2"/>
      <x:c r="G35" s="2"/>
    </x:row>
    <x:row r="36" ht="28" customHeight="1">
      <x:c r="A36" s="2" t="str">
        <x:v>• Las fórmulas sin capacidad saturada del break-even son una APROXIMACIÓN, no sustituyen el análisis de escenarios con cupos.</x:v>
      </x:c>
      <x:c r="B36" s="2"/>
      <x:c r="C36" s="2"/>
      <x:c r="D36" s="2"/>
      <x:c r="E36" s="2"/>
      <x:c r="F36" s="2"/>
      <x:c r="G36" s="2"/>
    </x:row>
    <x:row r="37" ht="28" customHeight="1">
      <x:c r="A37" s="2" t="str">
        <x:v>• Todos los precios de API/WhatsApp deben comprobarse de nuevo antes de firmar contratos.</x:v>
      </x:c>
      <x:c r="B37" s="2"/>
      <x:c r="C37" s="2"/>
      <x:c r="D37" s="2"/>
      <x:c r="E37" s="2"/>
      <x:c r="F37" s="2"/>
      <x:c r="G37" s="2"/>
    </x:row>
    <x:row r="38" ht="20" customHeight="1">
      <x:c r="A38" s="2"/>
      <x:c r="B38" s="2"/>
      <x:c r="C38" s="2"/>
      <x:c r="D38" s="2"/>
      <x:c r="E38" s="2"/>
      <x:c r="F38" s="2"/>
      <x:c r="G38" s="2"/>
    </x:row>
    <x:row r="39" ht="20" customHeight="1">
      <x:c r="A39" s="2"/>
      <x:c r="B39" s="2"/>
      <x:c r="C39" s="2"/>
      <x:c r="D39" s="2"/>
      <x:c r="E39" s="2"/>
      <x:c r="F39" s="2"/>
      <x:c r="G39" s="2"/>
    </x:row>
    <x:row r="40" ht="20" customHeight="1">
      <x:c r="A40" s="2"/>
      <x:c r="B40" s="2"/>
      <x:c r="C40" s="2"/>
      <x:c r="D40" s="2"/>
      <x:c r="E40" s="2"/>
      <x:c r="F40" s="2"/>
      <x:c r="G40" s="2"/>
    </x:row>
    <x:row r="41" ht="20" customHeight="1">
      <x:c r="A41" s="2"/>
      <x:c r="B41" s="2"/>
      <x:c r="C41" s="2"/>
      <x:c r="D41" s="2"/>
      <x:c r="E41" s="2"/>
      <x:c r="F41" s="2"/>
      <x:c r="G41" s="2"/>
    </x:row>
    <x:row r="42" ht="20" customHeight="1">
      <x:c r="A42" s="2"/>
      <x:c r="B42" s="2"/>
      <x:c r="C42" s="2"/>
      <x:c r="D42" s="2"/>
      <x:c r="E42" s="2"/>
      <x:c r="F42" s="2"/>
      <x:c r="G42" s="2"/>
    </x:row>
    <x:row r="43" ht="20" customHeight="1">
      <x:c r="A43" s="2"/>
      <x:c r="B43" s="2"/>
      <x:c r="C43" s="2"/>
      <x:c r="D43" s="2"/>
      <x:c r="E43" s="2"/>
      <x:c r="F43" s="2"/>
      <x:c r="G43" s="2"/>
    </x:row>
    <x:row r="44" ht="20" customHeight="1">
      <x:c r="A44" s="2"/>
      <x:c r="B44" s="2"/>
      <x:c r="C44" s="2"/>
      <x:c r="D44" s="2"/>
      <x:c r="E44" s="2"/>
      <x:c r="F44" s="2"/>
      <x:c r="G44" s="2"/>
    </x:row>
    <x:row r="45" ht="20" customHeight="1">
      <x:c r="A45" s="2"/>
      <x:c r="B45" s="2"/>
      <x:c r="C45" s="2"/>
      <x:c r="D45" s="2"/>
      <x:c r="E45" s="2"/>
      <x:c r="F45" s="2"/>
      <x:c r="G45" s="2"/>
    </x:row>
    <x:row r="46" ht="20" customHeight="1">
      <x:c r="A46" s="2"/>
      <x:c r="B46" s="2"/>
      <x:c r="C46" s="2"/>
      <x:c r="D46" s="2"/>
      <x:c r="E46" s="2"/>
      <x:c r="F46" s="2"/>
      <x:c r="G46" s="2"/>
    </x:row>
    <x:row r="47" ht="20" customHeight="1">
      <x:c r="A47" s="2"/>
      <x:c r="B47" s="2"/>
      <x:c r="C47" s="2"/>
      <x:c r="D47" s="2"/>
      <x:c r="E47" s="2"/>
      <x:c r="F47" s="2"/>
      <x:c r="G47" s="2"/>
    </x:row>
    <x:row r="48" ht="20" customHeight="1">
      <x:c r="A48" s="2"/>
      <x:c r="B48" s="2"/>
      <x:c r="C48" s="2"/>
      <x:c r="D48" s="2"/>
      <x:c r="E48" s="2"/>
      <x:c r="F48" s="2"/>
      <x:c r="G48" s="2"/>
    </x:row>
    <x:row r="49" ht="20" customHeight="1">
      <x:c r="A49" s="2"/>
      <x:c r="B49" s="2"/>
      <x:c r="C49" s="2"/>
      <x:c r="D49" s="2"/>
      <x:c r="E49" s="2"/>
      <x:c r="F49" s="2"/>
      <x:c r="G49" s="2"/>
    </x:row>
    <x:row r="50" ht="20" customHeight="1">
      <x:c r="A50" s="2"/>
      <x:c r="B50" s="2"/>
      <x:c r="C50" s="2"/>
      <x:c r="D50" s="2"/>
      <x:c r="E50" s="2"/>
      <x:c r="F50" s="2"/>
      <x:c r="G50" s="2"/>
    </x:row>
    <x:row r="51" ht="20" customHeight="1">
      <x:c r="A51" s="2"/>
      <x:c r="B51" s="2"/>
      <x:c r="C51" s="2"/>
      <x:c r="D51" s="2"/>
      <x:c r="E51" s="2"/>
      <x:c r="F51" s="2"/>
      <x:c r="G51" s="2"/>
    </x:row>
    <x:row r="52" ht="20" customHeight="1">
      <x:c r="A52" s="2"/>
      <x:c r="B52" s="2"/>
      <x:c r="C52" s="2"/>
      <x:c r="D52" s="2"/>
      <x:c r="E52" s="2"/>
      <x:c r="F52" s="2"/>
      <x:c r="G52" s="2"/>
    </x:row>
    <x:row r="53" ht="20" customHeight="1">
      <x:c r="A53" s="2"/>
      <x:c r="B53" s="2"/>
      <x:c r="C53" s="2"/>
      <x:c r="D53" s="2"/>
      <x:c r="E53" s="2"/>
      <x:c r="F53" s="2"/>
      <x:c r="G53" s="2"/>
    </x:row>
    <x:row r="54" ht="20" customHeight="1">
      <x:c r="A54" s="2"/>
      <x:c r="B54" s="2"/>
      <x:c r="C54" s="2"/>
      <x:c r="D54" s="2"/>
      <x:c r="E54" s="2"/>
      <x:c r="F54" s="2"/>
      <x:c r="G54" s="2"/>
    </x:row>
    <x:row r="55" ht="20" customHeight="1">
      <x:c r="A55" s="2"/>
      <x:c r="B55" s="2"/>
      <x:c r="C55" s="2"/>
      <x:c r="D55" s="2"/>
      <x:c r="E55" s="2"/>
      <x:c r="F55" s="2"/>
      <x:c r="G55" s="2"/>
    </x:row>
    <x:row r="56" ht="20" customHeight="1">
      <x:c r="A56" s="2"/>
      <x:c r="B56" s="2"/>
      <x:c r="C56" s="2"/>
      <x:c r="D56" s="2"/>
      <x:c r="E56" s="2"/>
      <x:c r="F56" s="2"/>
      <x:c r="G56" s="2"/>
    </x:row>
    <x:row r="57" ht="20" customHeight="1">
      <x:c r="A57" s="2"/>
      <x:c r="B57" s="2"/>
      <x:c r="C57" s="2"/>
      <x:c r="D57" s="2"/>
      <x:c r="E57" s="2"/>
      <x:c r="F57" s="2"/>
      <x:c r="G57" s="2"/>
    </x:row>
    <x:row r="58" ht="20" customHeight="1">
      <x:c r="A58" s="2"/>
      <x:c r="B58" s="2"/>
      <x:c r="C58" s="2"/>
      <x:c r="D58" s="2"/>
      <x:c r="E58" s="2"/>
      <x:c r="F58" s="2"/>
      <x:c r="G58" s="2"/>
    </x:row>
    <x:row r="59" ht="20" customHeight="1">
      <x:c r="A59" s="2"/>
      <x:c r="B59" s="2"/>
      <x:c r="C59" s="2"/>
      <x:c r="D59" s="2"/>
      <x:c r="E59" s="2"/>
      <x:c r="F59" s="2"/>
      <x:c r="G59" s="2"/>
    </x:row>
    <x:row r="60" ht="20" customHeight="1">
      <x:c r="A60" s="2"/>
      <x:c r="B60" s="2"/>
      <x:c r="C60" s="2"/>
      <x:c r="D60" s="2"/>
      <x:c r="E60" s="2"/>
      <x:c r="F60" s="2"/>
      <x:c r="G60" s="2"/>
    </x:row>
    <x:row r="61" ht="20" customHeight="1">
      <x:c r="A61" s="2"/>
      <x:c r="B61" s="2"/>
      <x:c r="C61" s="2"/>
      <x:c r="D61" s="2"/>
      <x:c r="E61" s="2"/>
      <x:c r="F61" s="2"/>
      <x:c r="G61" s="2"/>
    </x:row>
    <x:row r="62" ht="20" customHeight="1">
      <x:c r="A62" s="2"/>
      <x:c r="B62" s="2"/>
      <x:c r="C62" s="2"/>
      <x:c r="D62" s="2"/>
      <x:c r="E62" s="2"/>
      <x:c r="F62" s="2"/>
      <x:c r="G62" s="2"/>
    </x:row>
    <x:row r="63" ht="20" customHeight="1">
      <x:c r="A63" s="2"/>
      <x:c r="B63" s="2"/>
      <x:c r="C63" s="2"/>
      <x:c r="D63" s="2"/>
      <x:c r="E63" s="2"/>
      <x:c r="F63" s="2"/>
      <x:c r="G63" s="2"/>
    </x:row>
    <x:row r="64" ht="20" customHeight="1">
      <x:c r="A64" s="2"/>
      <x:c r="B64" s="2"/>
      <x:c r="C64" s="2"/>
      <x:c r="D64" s="2"/>
      <x:c r="E64" s="2"/>
      <x:c r="F64" s="2"/>
      <x:c r="G64" s="2"/>
    </x:row>
    <x:row r="65" ht="20" customHeight="1">
      <x:c r="A65" s="2"/>
      <x:c r="B65" s="2"/>
      <x:c r="C65" s="2"/>
      <x:c r="D65" s="2"/>
      <x:c r="E65" s="2"/>
      <x:c r="F65" s="2"/>
      <x:c r="G65" s="2"/>
    </x:row>
    <x:row r="66" ht="20" customHeight="1">
      <x:c r="A66" s="2"/>
      <x:c r="B66" s="2"/>
      <x:c r="C66" s="2"/>
      <x:c r="D66" s="2"/>
      <x:c r="E66" s="2"/>
      <x:c r="F66" s="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G1"/>
    <x:mergeCell ref="A2:G2"/>
    <x:mergeCell ref="A4:G4"/>
    <x:mergeCell ref="B5:G5"/>
    <x:mergeCell ref="B6:G6"/>
    <x:mergeCell ref="B7:G7"/>
    <x:mergeCell ref="B8:G8"/>
    <x:mergeCell ref="B9:G9"/>
    <x:mergeCell ref="B10:G10"/>
    <x:mergeCell ref="B11:G11"/>
    <x:mergeCell ref="B12:G12"/>
    <x:mergeCell ref="B13:G13"/>
    <x:mergeCell ref="A16:G16"/>
    <x:mergeCell ref="B17:G17"/>
    <x:mergeCell ref="B18:G18"/>
    <x:mergeCell ref="B19:G19"/>
    <x:mergeCell ref="B20:G20"/>
    <x:mergeCell ref="B21:G21"/>
    <x:mergeCell ref="B22:G22"/>
    <x:mergeCell ref="B23:G23"/>
    <x:mergeCell ref="B24:G24"/>
    <x:mergeCell ref="B25:G25"/>
    <x:mergeCell ref="B26:G26"/>
    <x:mergeCell ref="A29:G29"/>
    <x:mergeCell ref="A30:G30"/>
    <x:mergeCell ref="A31:G31"/>
    <x:mergeCell ref="A32:G32"/>
    <x:mergeCell ref="A33:G33"/>
    <x:mergeCell ref="A34:G34"/>
    <x:mergeCell ref="A35:G35"/>
    <x:mergeCell ref="A36:G36"/>
    <x:mergeCell ref="A37:G3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44" hidden="0" customWidth="1"/>
    <x:col min="5" max="5" width="44" hidden="0" customWidth="1"/>
    <x:col min="6" max="6" width="18" hidden="0" customWidth="1"/>
    <x:col min="7" max="7" width="22" hidden="0" customWidth="1"/>
  </x:cols>
  <x:sheetData>
    <x:row r="1" ht="38" customHeight="1">
      <x:c r="A1" s="6" t="str">
        <x:v>MERCADO  |  OPORTUNIDAD REAL VS MERCADO CAPTURABLE</x:v>
      </x:c>
      <x:c r="B1" s="6"/>
      <x:c r="C1" s="6"/>
      <x:c r="D1" s="6"/>
      <x:c r="E1" s="6"/>
      <x:c r="F1" s="6"/>
      <x:c r="G1" s="6"/>
    </x:row>
    <x:row r="2" ht="28" customHeight="1">
      <x:c r="A2" s="11" t="str">
        <x:v>Fuente RUNT 2025: traspasos son TRÁMITES / TRANSACCIONES; no equivalen a propietarios únicos ni a clientes de la agencia</x:v>
      </x:c>
      <x:c r="B2" s="11"/>
      <x:c r="C2" s="11"/>
      <x:c r="D2" s="11"/>
      <x:c r="E2" s="11"/>
      <x:c r="F2" s="11"/>
      <x:c r="G2" s="11"/>
    </x:row>
    <x:row r="3" ht="20" customHeight="1">
      <x:c r="A3" s="2"/>
      <x:c r="B3" s="2"/>
      <x:c r="C3" s="2"/>
      <x:c r="D3" s="2"/>
      <x:c r="E3" s="2"/>
      <x:c r="F3" s="2"/>
      <x:c r="G3" s="2"/>
    </x:row>
    <x:row r="4" ht="27" customHeight="1">
      <x:c r="A4" s="16" t="str">
        <x:v>Indicador / unidad</x:v>
      </x:c>
      <x:c r="B4" s="16" t="str">
        <x:v>Valor / fórmula</x:v>
      </x:c>
      <x:c r="C4" s="16" t="str">
        <x:v>Año</x:v>
      </x:c>
      <x:c r="D4" s="16" t="str">
        <x:v>Naturaleza</x:v>
      </x:c>
      <x:c r="E4" s="16" t="str">
        <x:v>Interpretación</x:v>
      </x:c>
      <x:c r="F4" s="16" t="str">
        <x:v>Fuente</x:v>
      </x:c>
      <x:c r="G4" s="16" t="str">
        <x:v>Validación</x:v>
      </x:c>
    </x:row>
    <x:row r="5" ht="20" customHeight="1">
      <x:c r="A5" s="2" t="str">
        <x:v>Traspasos totales todas las clases</x:v>
      </x:c>
      <x:c r="B5" s="34" t="n">
        <x:v>1787268</x:v>
      </x:c>
      <x:c r="C5" s="2" t="n">
        <x:v>2025</x:v>
      </x:c>
      <x:c r="D5" s="2" t="str">
        <x:v>Observado</x:v>
      </x:c>
      <x:c r="E5" s="2" t="str">
        <x:v>Incluye motos y otras clases de vehículos</x:v>
      </x:c>
      <x:c r="F5" s="2" t="str">
        <x:v>RUNT 2025</x:v>
      </x:c>
      <x:c r="G5" s="2" t="str">
        <x:v>Cifra oficial</x:v>
      </x:c>
    </x:row>
    <x:row r="6" ht="20" customHeight="1">
      <x:c r="A6" s="2" t="str">
        <x:v>Traspasos automóviles</x:v>
      </x:c>
      <x:c r="B6" s="34" t="n">
        <x:v>609300</x:v>
      </x:c>
      <x:c r="C6" s="2" t="n">
        <x:v>2025</x:v>
      </x:c>
      <x:c r="D6" s="2" t="str">
        <x:v>Observado</x:v>
      </x:c>
      <x:c r="E6" s="2" t="str">
        <x:v>Transacciones en la clase automóvil</x:v>
      </x:c>
      <x:c r="F6" s="2" t="str">
        <x:v>RUNT 2025</x:v>
      </x:c>
      <x:c r="G6" s="2" t="str">
        <x:v>Cifra oficial</x:v>
      </x:c>
    </x:row>
    <x:row r="7" ht="20" customHeight="1">
      <x:c r="A7" s="2" t="str">
        <x:v>Traspasos camionetas</x:v>
      </x:c>
      <x:c r="B7" s="34" t="n">
        <x:v>303691</x:v>
      </x:c>
      <x:c r="C7" s="2" t="n">
        <x:v>2025</x:v>
      </x:c>
      <x:c r="D7" s="2" t="str">
        <x:v>Observado</x:v>
      </x:c>
      <x:c r="E7" s="2" t="str">
        <x:v>Transacciones en clase camioneta</x:v>
      </x:c>
      <x:c r="F7" s="2" t="str">
        <x:v>RUNT 2025</x:v>
      </x:c>
      <x:c r="G7" s="2" t="str">
        <x:v>Cifra oficial</x:v>
      </x:c>
    </x:row>
    <x:row r="8" ht="20" customHeight="1">
      <x:c r="A8" s="2" t="str">
        <x:v>Traspasos motocicletas</x:v>
      </x:c>
      <x:c r="B8" s="34" t="n">
        <x:v>690787</x:v>
      </x:c>
      <x:c r="C8" s="2" t="n">
        <x:v>2025</x:v>
      </x:c>
      <x:c r="D8" s="2" t="str">
        <x:v>Observado</x:v>
      </x:c>
      <x:c r="E8" s="2" t="str">
        <x:v>Excluidos del producto P0</x:v>
      </x:c>
      <x:c r="F8" s="2" t="str">
        <x:v>RUNT 2025</x:v>
      </x:c>
      <x:c r="G8" s="2" t="str">
        <x:v>Cifra oficial</x:v>
      </x:c>
    </x:row>
    <x:row r="9" ht="20" customHeight="1">
      <x:c r="A9" s="2" t="str">
        <x:v>Traspasos otras clases</x:v>
      </x:c>
      <x:c r="B9" s="34" t="n">
        <x:v>183490</x:v>
      </x:c>
      <x:c r="C9" s="2" t="n">
        <x:v>2025</x:v>
      </x:c>
      <x:c r="D9" s="2" t="str">
        <x:v>Observado</x:v>
      </x:c>
      <x:c r="E9" s="2" t="str">
        <x:v>Excluidos del TAM indicador</x:v>
      </x:c>
      <x:c r="F9" s="2" t="str">
        <x:v>RUNT 2025</x:v>
      </x:c>
      <x:c r="G9" s="2" t="str">
        <x:v>Cifra oficial</x:v>
      </x:c>
    </x:row>
    <x:row r="10" ht="20" customHeight="1">
      <x:c r="A10" s="2"/>
      <x:c r="B10" s="35"/>
      <x:c r="C10" s="2"/>
      <x:c r="D10" s="2"/>
      <x:c r="E10" s="2"/>
      <x:c r="F10" s="2"/>
      <x:c r="G10" s="2"/>
    </x:row>
    <x:row r="11" ht="20" customHeight="1">
      <x:c r="A11" s="2"/>
      <x:c r="B11" s="35"/>
      <x:c r="C11" s="2"/>
      <x:c r="D11" s="2"/>
      <x:c r="E11" s="2"/>
      <x:c r="F11" s="2"/>
      <x:c r="G11" s="2"/>
    </x:row>
    <x:row r="12" ht="20" customHeight="1">
      <x:c r="A12" s="10" t="str">
        <x:v>TAM indicativo: transferencias auto + camioneta</x:v>
      </x:c>
      <x:c r="B12" s="66" t="n">
        <x:f>SUM(B6:B7)</x:f>
        <x:v>912991</x:v>
      </x:c>
      <x:c r="C12" s="10"/>
      <x:c r="D12" s="10"/>
      <x:c r="E12" s="10" t="str">
        <x:v>Traspasos mercado nacional, no TAM de vehículos únicos</x:v>
      </x:c>
      <x:c r="F12" s="10"/>
      <x:c r="G12" s="10"/>
    </x:row>
    <x:row r="13" ht="20" customHeight="1">
      <x:c r="A13" s="2" t="str">
        <x:v>Filtro geográfico del estudio (supuesto)</x:v>
      </x:c>
      <x:c r="B13" s="59" t="n">
        <x:f>Supuestos!C35</x:f>
        <x:v>0.12</x:v>
      </x:c>
      <x:c r="C13" s="2"/>
      <x:c r="D13" s="2"/>
      <x:c r="E13" s="2" t="str">
        <x:v>Proxy territorial; no hay datos de sedes reales</x:v>
      </x:c>
      <x:c r="F13" s="2"/>
      <x:c r="G13" s="2"/>
    </x:row>
    <x:row r="14" ht="20" customHeight="1">
      <x:c r="A14" s="2" t="str">
        <x:v>Filtro segmento/taller compatible (supuesto)</x:v>
      </x:c>
      <x:c r="B14" s="59" t="n">
        <x:f>Supuestos!C36</x:f>
        <x:v>0.65</x:v>
      </x:c>
      <x:c r="C14" s="2"/>
      <x:c r="D14" s="2"/>
      <x:c r="E14" s="2" t="str">
        <x:v>Proxy de servicio/segmento</x:v>
      </x:c>
      <x:c r="F14" s="2"/>
      <x:c r="G14" s="2"/>
    </x:row>
    <x:row r="15" ht="20" customHeight="1">
      <x:c r="A15" s="10" t="str">
        <x:v>SAM indicativo transacciones/año (proxy)</x:v>
      </x:c>
      <x:c r="B15" s="66" t="n">
        <x:f>B12*B13*B14</x:f>
        <x:v>71213.298</x:v>
      </x:c>
      <x:c r="C15" s="10"/>
      <x:c r="D15" s="10"/>
      <x:c r="E15" s="10" t="str">
        <x:v>No se multiplica por ingresos del proyecto</x:v>
      </x:c>
      <x:c r="F15" s="10"/>
      <x:c r="G15" s="10"/>
    </x:row>
    <x:row r="16" ht="20" customHeight="1">
      <x:c r="A16" s="2"/>
      <x:c r="B16" s="60"/>
      <x:c r="C16" s="2"/>
      <x:c r="D16" s="2"/>
      <x:c r="E16" s="2"/>
      <x:c r="F16" s="2"/>
      <x:c r="G16" s="2"/>
    </x:row>
    <x:row r="17" ht="20" customHeight="1">
      <x:c r="A17" s="2"/>
      <x:c r="B17" s="60"/>
      <x:c r="C17" s="2"/>
      <x:c r="D17" s="2"/>
      <x:c r="E17" s="2"/>
      <x:c r="F17" s="2"/>
      <x:c r="G17" s="2"/>
    </x:row>
    <x:row r="18" ht="20" customHeight="1">
      <x:c r="A18" s="10" t="str">
        <x:v>SOM operativo: ventas de red Año 1</x:v>
      </x:c>
      <x:c r="B18" s="66" t="n">
        <x:f>Base!C5</x:f>
        <x:v>7200</x:v>
      </x:c>
      <x:c r="C18" s="10"/>
      <x:c r="D18" s="10"/>
      <x:c r="E18" s="10" t="str">
        <x:v>Solo ventas propias ficticias</x:v>
      </x:c>
      <x:c r="F18" s="10"/>
      <x:c r="G18" s="10"/>
    </x:row>
    <x:row r="19" ht="20" customHeight="1">
      <x:c r="A19" s="2" t="str">
        <x:v>Ventas incorporadas programa Año 1</x:v>
      </x:c>
      <x:c r="B19" s="60" t="n">
        <x:f>Base!C7</x:f>
        <x:v>3600</x:v>
      </x:c>
      <x:c r="C19" s="2"/>
      <x:c r="D19" s="2"/>
      <x:c r="E19" s="2" t="str">
        <x:v>Incorporación progresiva</x:v>
      </x:c>
      <x:c r="F19" s="2"/>
      <x:c r="G19" s="2"/>
    </x:row>
    <x:row r="20" ht="20" customHeight="1">
      <x:c r="A20" s="2" t="str">
        <x:v>Cohorte contactable Año 1</x:v>
      </x:c>
      <x:c r="B20" s="60" t="n">
        <x:f>Base!C14</x:f>
        <x:v>1095.12</x:v>
      </x:c>
      <x:c r="C20" s="2"/>
      <x:c r="D20" s="2"/>
      <x:c r="E20" s="2" t="str">
        <x:v>Necesidad+plan válido+consentimiento+entregabilidad</x:v>
      </x:c>
      <x:c r="F20" s="2"/>
      <x:c r="G20" s="2"/>
    </x:row>
    <x:row r="21" ht="20" customHeight="1">
      <x:c r="A21" s="2" t="str">
        <x:v>Oportunidades de mantenimiento Año 1</x:v>
      </x:c>
      <x:c r="B21" s="60" t="n">
        <x:f>Base!C18</x:f>
        <x:v>821.3399999999999</x:v>
      </x:c>
      <x:c r="C21" s="2"/>
      <x:c r="D21" s="2"/>
      <x:c r="E21" s="2" t="str">
        <x:v>Cohortes desplazadas por fecha de servicio</x:v>
      </x:c>
      <x:c r="F21" s="2"/>
      <x:c r="G21" s="2"/>
    </x:row>
    <x:row r="22" ht="20" customHeight="1">
      <x:c r="A22" s="10" t="str">
        <x:v>Servicios incrementales Año 1</x:v>
      </x:c>
      <x:c r="B22" s="66" t="n">
        <x:f>Base!C26</x:f>
        <x:v>188.90819999999997</x:v>
      </x:c>
      <x:c r="C22" s="10"/>
      <x:c r="D22" s="10"/>
      <x:c r="E22" s="10" t="str">
        <x:v>Ventaja causal hipotética limitada por taller</x:v>
      </x:c>
      <x:c r="F22" s="10"/>
      <x:c r="G22" s="10"/>
    </x:row>
    <x:row r="23" ht="20" customHeight="1">
      <x:c r="A23" s="2"/>
      <x:c r="B23" s="2"/>
      <x:c r="C23" s="2"/>
      <x:c r="D23" s="2"/>
      <x:c r="E23" s="2"/>
      <x:c r="F23" s="2"/>
      <x:c r="G23" s="2"/>
    </x:row>
    <x:row r="24" ht="20" customHeight="1">
      <x:c r="A24" s="2"/>
      <x:c r="B24" s="2"/>
      <x:c r="C24" s="2"/>
      <x:c r="D24" s="2"/>
      <x:c r="E24" s="2"/>
      <x:c r="F24" s="2"/>
      <x:c r="G24" s="2"/>
    </x:row>
    <x:row r="25" ht="20" customHeight="1">
      <x:c r="A25" s="2" t="str">
        <x:v>Advertencia metodológica</x:v>
      </x:c>
      <x:c r="B25" s="2"/>
      <x:c r="C25" s="2"/>
      <x:c r="D25" s="2"/>
      <x:c r="E25" s="2"/>
      <x:c r="F25" s="2"/>
      <x:c r="G25" s="2"/>
    </x:row>
    <x:row r="26" ht="30" customHeight="1">
      <x:c r="A26" s="86" t="str">
        <x:v>TAM/SAM basados en TRASPASOS 2025 son indicadores de contexto. El funnel financiero NO usa estas cifras para atribuir clientes o ventas: únicamente entregas de la red ficticia. Es necesario validar sedes, mix y cobertura geográfica con el cliente.</x:v>
      </x:c>
      <x:c r="B26" s="86"/>
      <x:c r="C26" s="86"/>
      <x:c r="D26" s="86"/>
      <x:c r="E26" s="86"/>
      <x:c r="F26" s="86"/>
      <x:c r="G26" s="86"/>
    </x:row>
    <x:row r="27" ht="30" customHeight="1">
      <x:c r="A27" s="86"/>
      <x:c r="B27" s="86"/>
      <x:c r="C27" s="86"/>
      <x:c r="D27" s="86"/>
      <x:c r="E27" s="86"/>
      <x:c r="F27" s="86"/>
      <x:c r="G27" s="86"/>
    </x:row>
    <x:row r="28" ht="20" customHeight="1">
      <x:c r="A28" s="2"/>
      <x:c r="B28" s="2"/>
      <x:c r="C28" s="2"/>
      <x:c r="D28" s="2"/>
      <x:c r="E28" s="2"/>
      <x:c r="F28" s="2"/>
      <x:c r="G28" s="2"/>
    </x:row>
    <x:row r="29" ht="20" customHeight="1">
      <x:c r="A29" s="2"/>
      <x:c r="B29" s="2"/>
      <x:c r="C29" s="2"/>
      <x:c r="D29" s="2"/>
      <x:c r="E29" s="2"/>
      <x:c r="F29" s="2"/>
      <x:c r="G29" s="2"/>
    </x:row>
    <x:row r="30" ht="20" customHeight="1">
      <x:c r="A30" s="2"/>
      <x:c r="B30" s="2"/>
      <x:c r="C30" s="2"/>
      <x:c r="D30" s="2"/>
      <x:c r="E30" s="2"/>
      <x:c r="F30" s="2"/>
      <x:c r="G30" s="2"/>
    </x:row>
    <x:row r="31" ht="20" customHeight="1">
      <x:c r="A31" s="2"/>
      <x:c r="B31" s="2"/>
      <x:c r="C31" s="2"/>
      <x:c r="D31" s="2"/>
      <x:c r="E31" s="2"/>
      <x:c r="F31" s="2"/>
      <x:c r="G31" s="2"/>
    </x:row>
    <x:row r="32" ht="20" customHeight="1">
      <x:c r="A32" s="2"/>
      <x:c r="B32" s="2"/>
      <x:c r="C32" s="2"/>
      <x:c r="D32" s="2"/>
      <x:c r="E32" s="2"/>
      <x:c r="F32" s="2"/>
      <x:c r="G32" s="2"/>
    </x:row>
    <x:row r="33" ht="20" customHeight="1">
      <x:c r="A33" s="2"/>
      <x:c r="B33" s="2"/>
      <x:c r="C33" s="2"/>
      <x:c r="D33" s="2"/>
      <x:c r="E33" s="2"/>
      <x:c r="F33" s="2"/>
      <x:c r="G33" s="2"/>
    </x:row>
    <x:row r="34" ht="20" customHeight="1">
      <x:c r="A34" s="2"/>
      <x:c r="B34" s="2"/>
      <x:c r="C34" s="2"/>
      <x:c r="D34" s="2"/>
      <x:c r="E34" s="2"/>
      <x:c r="F34" s="2"/>
      <x:c r="G34" s="2"/>
    </x:row>
    <x:row r="35" ht="20" customHeight="1">
      <x:c r="A35" s="2"/>
      <x:c r="B35" s="2"/>
      <x:c r="C35" s="2"/>
      <x:c r="D35" s="2"/>
      <x:c r="E35" s="2"/>
      <x:c r="F35" s="2"/>
      <x:c r="G35" s="2"/>
    </x:row>
    <x:row r="36" ht="20" customHeight="1">
      <x:c r="A36" s="2"/>
      <x:c r="B36" s="2"/>
      <x:c r="C36" s="2"/>
      <x:c r="D36" s="2"/>
      <x:c r="E36" s="2"/>
      <x:c r="F36" s="2"/>
      <x:c r="G36" s="2"/>
    </x:row>
    <x:row r="37" ht="20" customHeight="1">
      <x:c r="A37" s="2"/>
      <x:c r="B37" s="2"/>
      <x:c r="C37" s="2"/>
      <x:c r="D37" s="2"/>
      <x:c r="E37" s="2"/>
      <x:c r="F37" s="2"/>
      <x:c r="G37" s="2"/>
    </x:row>
    <x:row r="38" ht="20" customHeight="1">
      <x:c r="A38" s="2"/>
      <x:c r="B38" s="2"/>
      <x:c r="C38" s="2"/>
      <x:c r="D38" s="2"/>
      <x:c r="E38" s="2"/>
      <x:c r="F38" s="2"/>
      <x:c r="G38" s="2"/>
    </x:row>
    <x:row r="39" ht="20" customHeight="1">
      <x:c r="A39" s="2"/>
      <x:c r="B39" s="2"/>
      <x:c r="C39" s="2"/>
      <x:c r="D39" s="2"/>
      <x:c r="E39" s="2"/>
      <x:c r="F39" s="2"/>
      <x:c r="G39" s="2"/>
    </x:row>
    <x:row r="40" ht="20" customHeight="1">
      <x:c r="A40" s="2"/>
      <x:c r="B40" s="2"/>
      <x:c r="C40" s="2"/>
      <x:c r="D40" s="2"/>
      <x:c r="E40" s="2"/>
      <x:c r="F40" s="2"/>
      <x:c r="G40" s="2"/>
    </x:row>
    <x:row r="41" ht="20" customHeight="1">
      <x:c r="A41" s="2"/>
      <x:c r="B41" s="2"/>
      <x:c r="C41" s="2"/>
      <x:c r="D41" s="2"/>
      <x:c r="E41" s="2"/>
      <x:c r="F41" s="2"/>
      <x:c r="G41" s="2"/>
    </x:row>
    <x:row r="42" ht="20" customHeight="1">
      <x:c r="A42" s="2"/>
      <x:c r="B42" s="2"/>
      <x:c r="C42" s="2"/>
      <x:c r="D42" s="2"/>
      <x:c r="E42" s="2"/>
      <x:c r="F42" s="2"/>
      <x:c r="G42" s="2"/>
    </x:row>
    <x:row r="43" ht="20" customHeight="1">
      <x:c r="A43" s="2"/>
      <x:c r="B43" s="2"/>
      <x:c r="C43" s="2"/>
      <x:c r="D43" s="2"/>
      <x:c r="E43" s="2"/>
      <x:c r="F43" s="2"/>
      <x:c r="G43" s="2"/>
    </x:row>
    <x:row r="44" ht="20" customHeight="1">
      <x:c r="A44" s="2"/>
      <x:c r="B44" s="2"/>
      <x:c r="C44" s="2"/>
      <x:c r="D44" s="2"/>
      <x:c r="E44" s="2"/>
      <x:c r="F44" s="2"/>
      <x:c r="G44" s="2"/>
    </x:row>
    <x:row r="45" ht="20" customHeight="1">
      <x:c r="A45" s="2"/>
      <x:c r="B45" s="2"/>
      <x:c r="C45" s="2"/>
      <x:c r="D45" s="2"/>
      <x:c r="E45" s="2"/>
      <x:c r="F45" s="2"/>
      <x:c r="G45" s="2"/>
    </x:row>
    <x:row r="46" ht="20" customHeight="1">
      <x:c r="A46" s="2"/>
      <x:c r="B46" s="2"/>
      <x:c r="C46" s="2"/>
      <x:c r="D46" s="2"/>
      <x:c r="E46" s="2"/>
      <x:c r="F46" s="2"/>
      <x:c r="G46" s="2"/>
    </x:row>
    <x:row r="47" ht="20" customHeight="1">
      <x:c r="A47" s="2"/>
      <x:c r="B47" s="2"/>
      <x:c r="C47" s="2"/>
      <x:c r="D47" s="2"/>
      <x:c r="E47" s="2"/>
      <x:c r="F47" s="2"/>
      <x:c r="G47" s="2"/>
    </x:row>
    <x:row r="48" ht="20" customHeight="1">
      <x:c r="A48" s="2"/>
      <x:c r="B48" s="2"/>
      <x:c r="C48" s="2"/>
      <x:c r="D48" s="2"/>
      <x:c r="E48" s="2"/>
      <x:c r="F48" s="2"/>
      <x:c r="G48" s="2"/>
    </x:row>
    <x:row r="49" ht="20" customHeight="1">
      <x:c r="A49" s="2"/>
      <x:c r="B49" s="2"/>
      <x:c r="C49" s="2"/>
      <x:c r="D49" s="2"/>
      <x:c r="E49" s="2"/>
      <x:c r="F49" s="2"/>
      <x:c r="G49" s="2"/>
    </x:row>
    <x:row r="50" ht="20" customHeight="1">
      <x:c r="A50" s="2"/>
      <x:c r="B50" s="2"/>
      <x:c r="C50" s="2"/>
      <x:c r="D50" s="2"/>
      <x:c r="E50" s="2"/>
      <x:c r="F50" s="2"/>
      <x:c r="G50" s="2"/>
    </x:row>
    <x:row r="51" ht="20" customHeight="1">
      <x:c r="A51" s="2"/>
      <x:c r="B51" s="2"/>
      <x:c r="C51" s="2"/>
      <x:c r="D51" s="2"/>
      <x:c r="E51" s="2"/>
      <x:c r="F51" s="2"/>
      <x:c r="G51" s="2"/>
    </x:row>
    <x:row r="52" ht="20" customHeight="1">
      <x:c r="A52" s="2"/>
      <x:c r="B52" s="2"/>
      <x:c r="C52" s="2"/>
      <x:c r="D52" s="2"/>
      <x:c r="E52" s="2"/>
      <x:c r="F52" s="2"/>
      <x:c r="G52" s="2"/>
    </x:row>
    <x:row r="53" ht="20" customHeight="1">
      <x:c r="A53" s="2"/>
      <x:c r="B53" s="2"/>
      <x:c r="C53" s="2"/>
      <x:c r="D53" s="2"/>
      <x:c r="E53" s="2"/>
      <x:c r="F53" s="2"/>
      <x:c r="G53" s="2"/>
    </x:row>
    <x:row r="54" ht="20" customHeight="1">
      <x:c r="A54" s="2"/>
      <x:c r="B54" s="2"/>
      <x:c r="C54" s="2"/>
      <x:c r="D54" s="2"/>
      <x:c r="E54" s="2"/>
      <x:c r="F54" s="2"/>
      <x:c r="G54" s="2"/>
    </x:row>
    <x:row r="55" ht="20" customHeight="1">
      <x:c r="A55" s="2"/>
      <x:c r="B55" s="2"/>
      <x:c r="C55" s="2"/>
      <x:c r="D55" s="2"/>
      <x:c r="E55" s="2"/>
      <x:c r="F55" s="2"/>
      <x:c r="G55" s="2"/>
    </x:row>
    <x:row r="56" ht="20" customHeight="1">
      <x:c r="A56" s="2"/>
      <x:c r="B56" s="2"/>
      <x:c r="C56" s="2"/>
      <x:c r="D56" s="2"/>
      <x:c r="E56" s="2"/>
      <x:c r="F56" s="2"/>
      <x:c r="G56" s="2"/>
    </x:row>
    <x:row r="57" ht="20" customHeight="1">
      <x:c r="A57" s="2"/>
      <x:c r="B57" s="2"/>
      <x:c r="C57" s="2"/>
      <x:c r="D57" s="2"/>
      <x:c r="E57" s="2"/>
      <x:c r="F57" s="2"/>
      <x:c r="G57" s="2"/>
    </x:row>
    <x:row r="58" ht="20" customHeight="1">
      <x:c r="A58" s="2"/>
      <x:c r="B58" s="2"/>
      <x:c r="C58" s="2"/>
      <x:c r="D58" s="2"/>
      <x:c r="E58" s="2"/>
      <x:c r="F58" s="2"/>
      <x:c r="G58" s="2"/>
    </x:row>
    <x:row r="59" ht="20" customHeight="1">
      <x:c r="A59" s="2"/>
      <x:c r="B59" s="2"/>
      <x:c r="C59" s="2"/>
      <x:c r="D59" s="2"/>
      <x:c r="E59" s="2"/>
      <x:c r="F59" s="2"/>
      <x:c r="G59" s="2"/>
    </x:row>
    <x:row r="60" ht="20" customHeight="1">
      <x:c r="A60" s="2"/>
      <x:c r="B60" s="2"/>
      <x:c r="C60" s="2"/>
      <x:c r="D60" s="2"/>
      <x:c r="E60" s="2"/>
      <x:c r="F60" s="2"/>
      <x:c r="G60" s="2"/>
    </x:row>
    <x:row r="61" ht="20" customHeight="1">
      <x:c r="A61" s="2"/>
      <x:c r="B61" s="2"/>
      <x:c r="C61" s="2"/>
      <x:c r="D61" s="2"/>
      <x:c r="E61" s="2"/>
      <x:c r="F61" s="2"/>
      <x:c r="G61" s="2"/>
    </x:row>
    <x:row r="62" ht="20" customHeight="1">
      <x:c r="A62" s="2"/>
      <x:c r="B62" s="2"/>
      <x:c r="C62" s="2"/>
      <x:c r="D62" s="2"/>
      <x:c r="E62" s="2"/>
      <x:c r="F62" s="2"/>
      <x:c r="G62" s="2"/>
    </x:row>
    <x:row r="63" ht="20" customHeight="1">
      <x:c r="A63" s="2"/>
      <x:c r="B63" s="2"/>
      <x:c r="C63" s="2"/>
      <x:c r="D63" s="2"/>
      <x:c r="E63" s="2"/>
      <x:c r="F63" s="2"/>
      <x:c r="G63" s="2"/>
    </x:row>
    <x:row r="64" ht="20" customHeight="1">
      <x:c r="A64" s="2"/>
      <x:c r="B64" s="2"/>
      <x:c r="C64" s="2"/>
      <x:c r="D64" s="2"/>
      <x:c r="E64" s="2"/>
      <x:c r="F64" s="2"/>
      <x:c r="G64" s="2"/>
    </x:row>
    <x:row r="65" ht="20" customHeight="1">
      <x:c r="A65" s="2"/>
      <x:c r="B65" s="2"/>
      <x:c r="C65" s="2"/>
      <x:c r="D65" s="2"/>
      <x:c r="E65" s="2"/>
      <x:c r="F65" s="2"/>
      <x:c r="G65" s="2"/>
    </x:row>
    <x:row r="66" ht="20" customHeight="1">
      <x:c r="A66" s="2"/>
      <x:c r="B66" s="2"/>
      <x:c r="C66" s="2"/>
      <x:c r="D66" s="2"/>
      <x:c r="E66" s="2"/>
      <x:c r="F66" s="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G1"/>
    <x:mergeCell ref="A2:G2"/>
    <x:mergeCell ref="A26:G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38" hidden="0" customWidth="1"/>
    <x:col min="7" max="7" width="11" hidden="0" customWidth="1"/>
  </x:cols>
  <x:sheetData>
    <x:row r="1" ht="38" customHeight="1">
      <x:c r="A1" s="6" t="str">
        <x:v>VEHICLE CARE  |  SUPUESTOS Y ESCENARIOS</x:v>
      </x:c>
      <x:c r="B1" s="6"/>
      <x:c r="C1" s="6"/>
      <x:c r="D1" s="6"/>
      <x:c r="E1" s="6"/>
      <x:c r="F1" s="6"/>
      <x:c r="G1" s="6"/>
    </x:row>
    <x:row r="2" ht="28" customHeight="1">
      <x:c r="A2" s="11" t="str">
        <x:v>Entradas azules editables · Cada escenario usa la MISMA red de 8 sedes · Hipótesis NO verificadas de una agencia ficticia</x:v>
      </x:c>
      <x:c r="B2" s="11"/>
      <x:c r="C2" s="11"/>
      <x:c r="D2" s="11"/>
      <x:c r="E2" s="11"/>
      <x:c r="F2" s="11"/>
      <x:c r="G2" s="11"/>
    </x:row>
    <x:row r="3" ht="20" customHeight="1">
      <x:c r="A3" s="2"/>
      <x:c r="B3" s="2"/>
      <x:c r="C3" s="2"/>
      <x:c r="D3" s="2"/>
      <x:c r="E3" s="2"/>
      <x:c r="F3" s="2"/>
      <x:c r="G3" s="2"/>
    </x:row>
    <x:row r="4" ht="27" customHeight="1">
      <x:c r="A4" s="16" t="str">
        <x:v>Variable / unidad</x:v>
      </x:c>
      <x:c r="B4" s="16" t="str">
        <x:v>Pesimista</x:v>
      </x:c>
      <x:c r="C4" s="16" t="str">
        <x:v>Base</x:v>
      </x:c>
      <x:c r="D4" s="16" t="str">
        <x:v>Optimista</x:v>
      </x:c>
      <x:c r="E4" s="16" t="str">
        <x:v>Clase</x:v>
      </x:c>
      <x:c r="F4" s="16" t="str">
        <x:v>Origen / validación</x:v>
      </x:c>
      <x:c r="G4" s="16" t="str">
        <x:v>ID</x:v>
      </x:c>
    </x:row>
    <x:row r="5" ht="20" customHeight="1">
      <x:c r="A5" s="2" t="str">
        <x:v>Sedes operativas (n)</x:v>
      </x:c>
      <x:c r="B5" s="22" t="n">
        <x:v>8</x:v>
      </x:c>
      <x:c r="C5" s="22" t="n">
        <x:v>8</x:v>
      </x:c>
      <x:c r="D5" s="22" t="n">
        <x:v>8</x:v>
      </x:c>
      <x:c r="E5" s="2" t="str">
        <x:v>Estructural</x:v>
      </x:c>
      <x:c r="F5" s="2" t="str">
        <x:v>Red ficticia constante en escenarios</x:v>
      </x:c>
      <x:c r="G5" s="2" t="str">
        <x:v>H01</x:v>
      </x:c>
    </x:row>
    <x:row r="6" ht="20" customHeight="1">
      <x:c r="A6" s="2" t="str">
        <x:v>Ventas usados por sede / mes (veh.)</x:v>
      </x:c>
      <x:c r="B6" s="22" t="n">
        <x:v>75</x:v>
      </x:c>
      <x:c r="C6" s="22" t="n">
        <x:v>75</x:v>
      </x:c>
      <x:c r="D6" s="22" t="n">
        <x:v>75</x:v>
      </x:c>
      <x:c r="E6" s="2" t="str">
        <x:v>Estructural</x:v>
      </x:c>
      <x:c r="F6" s="2" t="str">
        <x:v>CRM ventas; mismo tamaño de red</x:v>
      </x:c>
      <x:c r="G6" s="2" t="str">
        <x:v>H02</x:v>
      </x:c>
    </x:row>
    <x:row r="7" ht="20" customHeight="1">
      <x:c r="A7" s="2" t="str">
        <x:v>Crecimiento de ventas / año</x:v>
      </x:c>
      <x:c r="B7" s="26" t="n">
        <x:v>0</x:v>
      </x:c>
      <x:c r="C7" s="26" t="n">
        <x:v>0.08</x:v>
      </x:c>
      <x:c r="D7" s="26" t="n">
        <x:v>0.12</x:v>
      </x:c>
      <x:c r="E7" s="2" t="str">
        <x:v>Comercial</x:v>
      </x:c>
      <x:c r="F7" s="2" t="str">
        <x:v>Proyección, no dato histórico</x:v>
      </x:c>
      <x:c r="G7" s="2" t="str">
        <x:v>H03</x:v>
      </x:c>
    </x:row>
    <x:row r="8" ht="20" customHeight="1">
      <x:c r="A8" s="2" t="str">
        <x:v>Cobertura de entrega Año 1</x:v>
      </x:c>
      <x:c r="B8" s="26" t="n">
        <x:v>0.4</x:v>
      </x:c>
      <x:c r="C8" s="26" t="n">
        <x:v>0.5</x:v>
      </x:c>
      <x:c r="D8" s="26" t="n">
        <x:v>0.6</x:v>
      </x:c>
      <x:c r="E8" s="2" t="str">
        <x:v>Despliegue</x:v>
      </x:c>
      <x:c r="F8" s="2" t="str">
        <x:v>Rollout producto medible</x:v>
      </x:c>
      <x:c r="G8" s="2" t="str">
        <x:v>H04</x:v>
      </x:c>
    </x:row>
    <x:row r="9" ht="20" customHeight="1">
      <x:c r="A9" s="2" t="str">
        <x:v>Cobertura de entrega Año 2</x:v>
      </x:c>
      <x:c r="B9" s="26" t="n">
        <x:v>0.65</x:v>
      </x:c>
      <x:c r="C9" s="26" t="n">
        <x:v>0.8</x:v>
      </x:c>
      <x:c r="D9" s="26" t="n">
        <x:v>0.9</x:v>
      </x:c>
      <x:c r="E9" s="2" t="str">
        <x:v>Despliegue</x:v>
      </x:c>
      <x:c r="F9" s="2" t="str">
        <x:v>Rollout producto medible</x:v>
      </x:c>
      <x:c r="G9" s="2" t="str">
        <x:v>H05</x:v>
      </x:c>
    </x:row>
    <x:row r="10" ht="20" customHeight="1">
      <x:c r="A10" s="2" t="str">
        <x:v>Cobertura de entrega Año 3</x:v>
      </x:c>
      <x:c r="B10" s="26" t="n">
        <x:v>0.75</x:v>
      </x:c>
      <x:c r="C10" s="26" t="n">
        <x:v>1</x:v>
      </x:c>
      <x:c r="D10" s="26" t="n">
        <x:v>1</x:v>
      </x:c>
      <x:c r="E10" s="2" t="str">
        <x:v>Despliegue</x:v>
      </x:c>
      <x:c r="F10" s="2" t="str">
        <x:v>Rollout producto medible</x:v>
      </x:c>
      <x:c r="G10" s="2" t="str">
        <x:v>H06</x:v>
      </x:c>
    </x:row>
    <x:row r="11" ht="20" customHeight="1">
      <x:c r="A11" s="2" t="str">
        <x:v>% con primer servicio exigible ≤180 días</x:v>
      </x:c>
      <x:c r="B11" s="26" t="n">
        <x:v>0.55</x:v>
      </x:c>
      <x:c r="C11" s="26" t="n">
        <x:v>0.65</x:v>
      </x:c>
      <x:c r="D11" s="26" t="n">
        <x:v>0.72</x:v>
      </x:c>
      <x:c r="E11" s="2" t="str">
        <x:v>Funnel</x:v>
      </x:c>
      <x:c r="F11" s="2" t="str">
        <x:v>Auditoría de historial / necesidad real</x:v>
      </x:c>
      <x:c r="G11" s="2" t="str">
        <x:v>H07</x:v>
      </x:c>
    </x:row>
    <x:row r="12" ht="20" customHeight="1">
      <x:c r="A12" s="2" t="str">
        <x:v>% con datos y plan válidos</x:v>
      </x:c>
      <x:c r="B12" s="26" t="n">
        <x:v>0.6</x:v>
      </x:c>
      <x:c r="C12" s="26" t="n">
        <x:v>0.8</x:v>
      </x:c>
      <x:c r="D12" s="26" t="n">
        <x:v>0.9</x:v>
      </x:c>
      <x:c r="E12" s="2" t="str">
        <x:v>Funnel</x:v>
      </x:c>
      <x:c r="F12" s="2" t="str">
        <x:v>Auditoría VIN, motor y servicio anterior</x:v>
      </x:c>
      <x:c r="G12" s="2" t="str">
        <x:v>H08</x:v>
      </x:c>
    </x:row>
    <x:row r="13" ht="20" customHeight="1">
      <x:c r="A13" s="2" t="str">
        <x:v>% opt-in preventivo por canal</x:v>
      </x:c>
      <x:c r="B13" s="26" t="n">
        <x:v>0.45</x:v>
      </x:c>
      <x:c r="C13" s="26" t="n">
        <x:v>0.65</x:v>
      </x:c>
      <x:c r="D13" s="26" t="n">
        <x:v>0.8</x:v>
      </x:c>
      <x:c r="E13" s="2" t="str">
        <x:v>Funnel</x:v>
      </x:c>
      <x:c r="F13" s="2" t="str">
        <x:v>Auditoría jurídica de consentimientos</x:v>
      </x:c>
      <x:c r="G13" s="2" t="str">
        <x:v>H09</x:v>
      </x:c>
    </x:row>
    <x:row r="14" ht="20" customHeight="1">
      <x:c r="A14" s="2" t="str">
        <x:v>% contacto entregable</x:v>
      </x:c>
      <x:c r="B14" s="26" t="n">
        <x:v>0.75</x:v>
      </x:c>
      <x:c r="C14" s="26" t="n">
        <x:v>0.9</x:v>
      </x:c>
      <x:c r="D14" s="26" t="n">
        <x:v>0.95</x:v>
      </x:c>
      <x:c r="E14" s="2" t="str">
        <x:v>Funnel</x:v>
      </x:c>
      <x:c r="F14" s="2" t="str">
        <x:v>Métricas proveedor/campañas</x:v>
      </x:c>
      <x:c r="G14" s="2" t="str">
        <x:v>H10</x:v>
      </x:c>
    </x:row>
    <x:row r="15" ht="20" customHeight="1">
      <x:c r="A15" s="2" t="str">
        <x:v>% oportunidad atendida en mismo año</x:v>
      </x:c>
      <x:c r="B15" s="26" t="n">
        <x:v>0.75</x:v>
      </x:c>
      <x:c r="C15" s="26" t="n">
        <x:v>0.75</x:v>
      </x:c>
      <x:c r="D15" s="26" t="n">
        <x:v>0.75</x:v>
      </x:c>
      <x:c r="E15" s="2" t="str">
        <x:v>Cohortes</x:v>
      </x:c>
      <x:c r="F15" s="2" t="str">
        <x:v>Delay promedio 3 meses; saldo al año siguiente</x:v>
      </x:c>
      <x:c r="G15" s="2" t="str">
        <x:v>H11</x:v>
      </x:c>
    </x:row>
    <x:row r="16" ht="20" customHeight="1">
      <x:c r="A16" s="2" t="str">
        <x:v>Servicio completado grupo control</x:v>
      </x:c>
      <x:c r="B16" s="26" t="n">
        <x:v>0.22</x:v>
      </x:c>
      <x:c r="C16" s="26" t="n">
        <x:v>0.22</x:v>
      </x:c>
      <x:c r="D16" s="26" t="n">
        <x:v>0.22</x:v>
      </x:c>
      <x:c r="E16" s="2" t="str">
        <x:v>Conversión</x:v>
      </x:c>
      <x:c r="F16" s="2" t="str">
        <x:v>DMS histórico; NO derivado de Cox</x:v>
      </x:c>
      <x:c r="G16" s="2" t="str">
        <x:v>H12</x:v>
      </x:c>
    </x:row>
    <x:row r="17" ht="20" customHeight="1">
      <x:c r="A17" s="2" t="str">
        <x:v>Servicio completado tratamiento</x:v>
      </x:c>
      <x:c r="B17" s="26" t="n">
        <x:v>0.28</x:v>
      </x:c>
      <x:c r="C17" s="26" t="n">
        <x:v>0.45</x:v>
      </x:c>
      <x:c r="D17" s="26" t="n">
        <x:v>0.6</x:v>
      </x:c>
      <x:c r="E17" s="2" t="str">
        <x:v>Conversión</x:v>
      </x:c>
      <x:c r="F17" s="2" t="str">
        <x:v>Experimento causal A/B a 180 días</x:v>
      </x:c>
      <x:c r="G17" s="2" t="str">
        <x:v>H13</x:v>
      </x:c>
    </x:row>
    <x:row r="18" ht="20" customHeight="1">
      <x:c r="A18" s="2" t="str">
        <x:v>Ticket neto promedio por servicio (COP)</x:v>
      </x:c>
      <x:c r="B18" s="28" t="n">
        <x:v>330000</x:v>
      </x:c>
      <x:c r="C18" s="28" t="n">
        <x:v>450000</x:v>
      </x:c>
      <x:c r="D18" s="28" t="n">
        <x:v>560000</x:v>
      </x:c>
      <x:c r="E18" s="2" t="str">
        <x:v>Monetización</x:v>
      </x:c>
      <x:c r="F18" s="2" t="str">
        <x:v>OT/facturación neta de IVA</x:v>
      </x:c>
      <x:c r="G18" s="2" t="str">
        <x:v>H14</x:v>
      </x:c>
    </x:row>
    <x:row r="19" ht="20" customHeight="1">
      <x:c r="A19" s="2" t="str">
        <x:v>Margen contribución por servicio</x:v>
      </x:c>
      <x:c r="B19" s="26" t="n">
        <x:v>0.25</x:v>
      </x:c>
      <x:c r="C19" s="26" t="n">
        <x:v>0.35</x:v>
      </x:c>
      <x:c r="D19" s="26" t="n">
        <x:v>0.42</x:v>
      </x:c>
      <x:c r="E19" s="2" t="str">
        <x:v>Monetización</x:v>
      </x:c>
      <x:c r="F19" s="2" t="str">
        <x:v>Ingresos menos costos variables de taller</x:v>
      </x:c>
      <x:c r="G19" s="2" t="str">
        <x:v>H15</x:v>
      </x:c>
    </x:row>
    <x:row r="20" ht="20" customHeight="1">
      <x:c r="A20" s="2" t="str">
        <x:v>Capacidad incremental sede/mes (OT)</x:v>
      </x:c>
      <x:c r="B20" s="22" t="n">
        <x:v>6</x:v>
      </x:c>
      <x:c r="C20" s="22" t="n">
        <x:v>18</x:v>
      </x:c>
      <x:c r="D20" s="22" t="n">
        <x:v>30</x:v>
      </x:c>
      <x:c r="E20" s="2" t="str">
        <x:v>Operaciones</x:v>
      </x:c>
      <x:c r="F20" s="2" t="str">
        <x:v>Tiempos de bahía y no desplazamiento</x:v>
      </x:c>
      <x:c r="G20" s="2" t="str">
        <x:v>H16</x:v>
      </x:c>
    </x:row>
    <x:row r="21" ht="20" customHeight="1">
      <x:c r="A21" s="2" t="str">
        <x:v>% contactos que conversan con IA</x:v>
      </x:c>
      <x:c r="B21" s="26" t="n">
        <x:v>0.45</x:v>
      </x:c>
      <x:c r="C21" s="26" t="n">
        <x:v>0.6</x:v>
      </x:c>
      <x:c r="D21" s="26" t="n">
        <x:v>0.75</x:v>
      </x:c>
      <x:c r="E21" s="2" t="str">
        <x:v>Adopción</x:v>
      </x:c>
      <x:c r="F21" s="2" t="str">
        <x:v>Trazas de conversaciones piloto</x:v>
      </x:c>
      <x:c r="G21" s="2" t="str">
        <x:v>H17</x:v>
      </x:c>
    </x:row>
    <x:row r="22" ht="20" customHeight="1">
      <x:c r="A22" s="2" t="str">
        <x:v>Mensajes entregados por contacto (u)</x:v>
      </x:c>
      <x:c r="B22" s="22" t="n">
        <x:v>2</x:v>
      </x:c>
      <x:c r="C22" s="22" t="n">
        <x:v>2</x:v>
      </x:c>
      <x:c r="D22" s="22" t="n">
        <x:v>2</x:v>
      </x:c>
      <x:c r="E22" s="2" t="str">
        <x:v>Canal</x:v>
      </x:c>
      <x:c r="F22" s="2" t="str">
        <x:v>Campañas simuladas; validar Meta/BSP</x:v>
      </x:c>
      <x:c r="G22" s="2" t="str">
        <x:v>H18</x:v>
      </x:c>
    </x:row>
    <x:row r="23" ht="20" customHeight="1">
      <x:c r="A23" s="2" t="str">
        <x:v>Fee proveedor canal por contacto (COP)</x:v>
      </x:c>
      <x:c r="B23" s="28" t="n">
        <x:v>175</x:v>
      </x:c>
      <x:c r="C23" s="28" t="n">
        <x:v>100</x:v>
      </x:c>
      <x:c r="D23" s="28" t="n">
        <x:v>90</x:v>
      </x:c>
      <x:c r="E23" s="2" t="str">
        <x:v>Canal</x:v>
      </x:c>
      <x:c r="F23" s="2" t="str">
        <x:v>BSP/CRM, cotización requerida</x:v>
      </x:c>
      <x:c r="G23" s="2" t="str">
        <x:v>H19</x:v>
      </x:c>
    </x:row>
    <x:row r="24" ht="20" customHeight="1">
      <x:c r="A24" s="2" t="str">
        <x:v>Tarifa mezclada por mensaje (COP)</x:v>
      </x:c>
      <x:c r="B24" s="28" t="n">
        <x:v>45</x:v>
      </x:c>
      <x:c r="C24" s="28" t="n">
        <x:v>45</x:v>
      </x:c>
      <x:c r="D24" s="28" t="n">
        <x:v>45</x:v>
      </x:c>
      <x:c r="E24" s="2" t="str">
        <x:v>Canal</x:v>
      </x:c>
      <x:c r="F24" s="2" t="str">
        <x:v>Estimación pendiente por categoría de Meta</x:v>
      </x:c>
      <x:c r="G24" s="2" t="str">
        <x:v>H20</x:v>
      </x:c>
    </x:row>
    <x:row r="25" ht="20" customHeight="1">
      <x:c r="A25" s="2" t="str">
        <x:v>% conversaciones derivadas a humano</x:v>
      </x:c>
      <x:c r="B25" s="26" t="n">
        <x:v>0.2</x:v>
      </x:c>
      <x:c r="C25" s="26" t="n">
        <x:v>0.12</x:v>
      </x:c>
      <x:c r="D25" s="26" t="n">
        <x:v>0.08</x:v>
      </x:c>
      <x:c r="E25" s="2" t="str">
        <x:v>Operación</x:v>
      </x:c>
      <x:c r="F25" s="2" t="str">
        <x:v>Medir tasa real de excepciones</x:v>
      </x:c>
      <x:c r="G25" s="2" t="str">
        <x:v>H21</x:v>
      </x:c>
    </x:row>
    <x:row r="26" ht="20" customHeight="1">
      <x:c r="A26" s="2" t="str">
        <x:v>Costo marginal por derivación humana (COP)</x:v>
      </x:c>
      <x:c r="B26" s="28" t="n">
        <x:v>18000</x:v>
      </x:c>
      <x:c r="C26" s="28" t="n">
        <x:v>12000</x:v>
      </x:c>
      <x:c r="D26" s="28" t="n">
        <x:v>10000</x:v>
      </x:c>
      <x:c r="E26" s="2" t="str">
        <x:v>Operación</x:v>
      </x:c>
      <x:c r="F26" s="2" t="str">
        <x:v>Tiempo incremental y coste de personal</x:v>
      </x:c>
      <x:c r="G26" s="2" t="str">
        <x:v>H22</x:v>
      </x:c>
    </x:row>
    <x:row r="27" ht="20" customHeight="1">
      <x:c r="A27" s="2" t="str">
        <x:v>Multiplicador consumo LLM</x:v>
      </x:c>
      <x:c r="B27" s="22" t="n">
        <x:v>1.4</x:v>
      </x:c>
      <x:c r="C27" s="22" t="n">
        <x:v>1</x:v>
      </x:c>
      <x:c r="D27" s="22" t="n">
        <x:v>0.8</x:v>
      </x:c>
      <x:c r="E27" s="2" t="str">
        <x:v>IA</x:v>
      </x:c>
      <x:c r="F27" s="2" t="str">
        <x:v>Variación de tokens por caso/escenario</x:v>
      </x:c>
      <x:c r="G27" s="2" t="str">
        <x:v>H23</x:v>
      </x:c>
    </x:row>
    <x:row r="28" ht="20" customHeight="1">
      <x:c r="A28" s="2" t="str">
        <x:v>Factor inversión inicial</x:v>
      </x:c>
      <x:c r="B28" s="22" t="n">
        <x:v>1.3</x:v>
      </x:c>
      <x:c r="C28" s="22" t="n">
        <x:v>1</x:v>
      </x:c>
      <x:c r="D28" s="22" t="n">
        <x:v>0.95</x:v>
      </x:c>
      <x:c r="E28" s="2" t="str">
        <x:v>Inversión</x:v>
      </x:c>
      <x:c r="F28" s="2" t="str">
        <x:v>Integración más/menos compleja</x:v>
      </x:c>
      <x:c r="G28" s="2" t="str">
        <x:v>H24</x:v>
      </x:c>
    </x:row>
    <x:row r="29" ht="20" customHeight="1">
      <x:c r="A29" s="2" t="str">
        <x:v>Factor gasto técnico fijo anual</x:v>
      </x:c>
      <x:c r="B29" s="22" t="n">
        <x:v>1.6</x:v>
      </x:c>
      <x:c r="C29" s="22" t="n">
        <x:v>1</x:v>
      </x:c>
      <x:c r="D29" s="22" t="n">
        <x:v>1.2</x:v>
      </x:c>
      <x:c r="E29" s="2" t="str">
        <x:v>OPEX</x:v>
      </x:c>
      <x:c r="F29" s="2" t="str">
        <x:v>Mayor esfuerzo soporte / escalado</x:v>
      </x:c>
      <x:c r="G29" s="2" t="str">
        <x:v>H25</x:v>
      </x:c>
    </x:row>
    <x:row r="30" ht="20" customHeight="1">
      <x:c r="A30" s="2" t="str">
        <x:v>Factor gobernanza y soporte anual</x:v>
      </x:c>
      <x:c r="B30" s="22" t="n">
        <x:v>1.35</x:v>
      </x:c>
      <x:c r="C30" s="22" t="n">
        <x:v>1</x:v>
      </x:c>
      <x:c r="D30" s="22" t="n">
        <x:v>1.5</x:v>
      </x:c>
      <x:c r="E30" s="2" t="str">
        <x:v>OPEX</x:v>
      </x:c>
      <x:c r="F30" s="2" t="str">
        <x:v>Mayor esfuerzo soporte / escalado</x:v>
      </x:c>
      <x:c r="G30" s="2" t="str">
        <x:v>H26</x:v>
      </x:c>
    </x:row>
    <x:row r="31" ht="20" customHeight="1">
      <x:c r="A31" s="2" t="str">
        <x:v>% ahorro de tiempo monetizable</x:v>
      </x:c>
      <x:c r="B31" s="26" t="n">
        <x:v>0</x:v>
      </x:c>
      <x:c r="C31" s="26" t="n">
        <x:v>0</x:v>
      </x:c>
      <x:c r="D31" s="26" t="n">
        <x:v>0</x:v>
      </x:c>
      <x:c r="E31" s="2" t="str">
        <x:v>Eficiencia</x:v>
      </x:c>
      <x:c r="F31" s="2" t="str">
        <x:v>Cero hasta demostrar ahorro/reasignación real</x:v>
      </x:c>
      <x:c r="G31" s="2" t="str">
        <x:v>H27</x:v>
      </x:c>
    </x:row>
    <x:row r="32" ht="20" customHeight="1">
      <x:c r="A32" s="2" t="str">
        <x:v>Minutos ahorrados por conversación</x:v>
      </x:c>
      <x:c r="B32" s="22" t="n">
        <x:v>3</x:v>
      </x:c>
      <x:c r="C32" s="22" t="n">
        <x:v>4</x:v>
      </x:c>
      <x:c r="D32" s="22" t="n">
        <x:v>5</x:v>
      </x:c>
      <x:c r="E32" s="2" t="str">
        <x:v>Eficiencia</x:v>
      </x:c>
      <x:c r="F32" s="2" t="str">
        <x:v>Medir tareas y TMO</x:v>
      </x:c>
      <x:c r="G32" s="2" t="str">
        <x:v>H28</x:v>
      </x:c>
    </x:row>
    <x:row r="33" ht="20" customHeight="1">
      <x:c r="A33" s="2" t="str">
        <x:v>Costo hora totalmente cargado (COP)</x:v>
      </x:c>
      <x:c r="B33" s="28" t="n">
        <x:v>35000</x:v>
      </x:c>
      <x:c r="C33" s="28" t="n">
        <x:v>35000</x:v>
      </x:c>
      <x:c r="D33" s="28" t="n">
        <x:v>35000</x:v>
      </x:c>
      <x:c r="E33" s="2" t="str">
        <x:v>Eficiencia</x:v>
      </x:c>
      <x:c r="F33" s="2" t="str">
        <x:v>RR. HH. + costos de nómina</x:v>
      </x:c>
      <x:c r="G33" s="2" t="str">
        <x:v>H29</x:v>
      </x:c>
    </x:row>
    <x:row r="34" ht="20" customHeight="1">
      <x:c r="A34" s="2" t="str">
        <x:v>Tasa descuento nominal (COP/año)</x:v>
      </x:c>
      <x:c r="B34" s="26" t="n">
        <x:v>0.15</x:v>
      </x:c>
      <x:c r="C34" s="26" t="n">
        <x:v>0.15</x:v>
      </x:c>
      <x:c r="D34" s="26" t="n">
        <x:v>0.15</x:v>
      </x:c>
      <x:c r="E34" s="2" t="str">
        <x:v>Finanzas</x:v>
      </x:c>
      <x:c r="F34" s="2" t="str">
        <x:v>WACC o hurdle rate del cliente</x:v>
      </x:c>
      <x:c r="G34" s="2" t="str">
        <x:v>H30</x:v>
      </x:c>
    </x:row>
    <x:row r="35" ht="20" customHeight="1">
      <x:c r="A35" s="2" t="str">
        <x:v>% traspasos en geografía atendible</x:v>
      </x:c>
      <x:c r="B35" s="26" t="n">
        <x:v>0.12</x:v>
      </x:c>
      <x:c r="C35" s="26" t="n">
        <x:v>0.12</x:v>
      </x:c>
      <x:c r="D35" s="26" t="n">
        <x:v>0.12</x:v>
      </x:c>
      <x:c r="E35" s="2" t="str">
        <x:v>Mercado</x:v>
      </x:c>
      <x:c r="F35" s="2" t="str">
        <x:v>Proxy ficticio; NO acceso real comprobado</x:v>
      </x:c>
      <x:c r="G35" s="2" t="str">
        <x:v>H31</x:v>
      </x:c>
    </x:row>
    <x:row r="36" ht="20" customHeight="1">
      <x:c r="A36" s="2" t="str">
        <x:v>% SAM compatible con segmento elegido</x:v>
      </x:c>
      <x:c r="B36" s="26" t="n">
        <x:v>0.65</x:v>
      </x:c>
      <x:c r="C36" s="26" t="n">
        <x:v>0.65</x:v>
      </x:c>
      <x:c r="D36" s="26" t="n">
        <x:v>0.65</x:v>
      </x:c>
      <x:c r="E36" s="2" t="str">
        <x:v>Mercado</x:v>
      </x:c>
      <x:c r="F36" s="2" t="str">
        <x:v>Proxy ficticio; mantener mercado separado del funnel</x:v>
      </x:c>
      <x:c r="G36" s="2" t="str">
        <x:v>H32</x:v>
      </x:c>
    </x:row>
    <x:row r="37" ht="20" customHeight="1">
      <x:c r="A37" s="2"/>
      <x:c r="B37" s="2"/>
      <x:c r="C37" s="2"/>
      <x:c r="D37" s="2"/>
      <x:c r="E37" s="2"/>
      <x:c r="F37" s="2"/>
      <x:c r="G37" s="2"/>
    </x:row>
    <x:row r="38" ht="20" customHeight="1">
      <x:c r="A38" s="2"/>
      <x:c r="B38" s="2"/>
      <x:c r="C38" s="2"/>
      <x:c r="D38" s="2"/>
      <x:c r="E38" s="2"/>
      <x:c r="F38" s="2"/>
      <x:c r="G38" s="2"/>
    </x:row>
    <x:row r="39" ht="20" customHeight="1">
      <x:c r="A39" s="2"/>
      <x:c r="B39" s="2"/>
      <x:c r="C39" s="2"/>
      <x:c r="D39" s="2"/>
      <x:c r="E39" s="2"/>
      <x:c r="F39" s="2"/>
      <x:c r="G39" s="2"/>
    </x:row>
    <x:row r="40" ht="20" customHeight="1">
      <x:c r="A40" s="2"/>
      <x:c r="B40" s="2"/>
      <x:c r="C40" s="2"/>
      <x:c r="D40" s="2"/>
      <x:c r="E40" s="2"/>
      <x:c r="F40" s="2"/>
      <x:c r="G40" s="2"/>
    </x:row>
    <x:row r="41" ht="20" customHeight="1">
      <x:c r="A41" s="2"/>
      <x:c r="B41" s="2"/>
      <x:c r="C41" s="2"/>
      <x:c r="D41" s="2"/>
      <x:c r="E41" s="2"/>
      <x:c r="F41" s="2"/>
      <x:c r="G41" s="2"/>
    </x:row>
    <x:row r="42" ht="20" customHeight="1">
      <x:c r="A42" s="2"/>
      <x:c r="B42" s="2"/>
      <x:c r="C42" s="2"/>
      <x:c r="D42" s="2"/>
      <x:c r="E42" s="2"/>
      <x:c r="F42" s="2"/>
      <x:c r="G42" s="2"/>
    </x:row>
    <x:row r="43" ht="20" customHeight="1">
      <x:c r="A43" s="2"/>
      <x:c r="B43" s="2"/>
      <x:c r="C43" s="2"/>
      <x:c r="D43" s="2"/>
      <x:c r="E43" s="2"/>
      <x:c r="F43" s="2"/>
      <x:c r="G43" s="2"/>
    </x:row>
    <x:row r="44" ht="20" customHeight="1">
      <x:c r="A44" s="2"/>
      <x:c r="B44" s="2"/>
      <x:c r="C44" s="2"/>
      <x:c r="D44" s="2"/>
      <x:c r="E44" s="2"/>
      <x:c r="F44" s="2"/>
      <x:c r="G44" s="2"/>
    </x:row>
    <x:row r="45" ht="20" customHeight="1">
      <x:c r="A45" s="2"/>
      <x:c r="B45" s="2"/>
      <x:c r="C45" s="2"/>
      <x:c r="D45" s="2"/>
      <x:c r="E45" s="2"/>
      <x:c r="F45" s="2"/>
      <x:c r="G45" s="2"/>
    </x:row>
    <x:row r="46" ht="20" customHeight="1">
      <x:c r="A46" s="2"/>
      <x:c r="B46" s="2"/>
      <x:c r="C46" s="2"/>
      <x:c r="D46" s="2"/>
      <x:c r="E46" s="2"/>
      <x:c r="F46" s="2"/>
      <x:c r="G46" s="2"/>
    </x:row>
    <x:row r="47" ht="20" customHeight="1">
      <x:c r="A47" s="2"/>
      <x:c r="B47" s="2"/>
      <x:c r="C47" s="2"/>
      <x:c r="D47" s="2"/>
      <x:c r="E47" s="2"/>
      <x:c r="F47" s="2"/>
      <x:c r="G47" s="2"/>
    </x:row>
    <x:row r="48" ht="20" customHeight="1">
      <x:c r="A48" s="2"/>
      <x:c r="B48" s="2"/>
      <x:c r="C48" s="2"/>
      <x:c r="D48" s="2"/>
      <x:c r="E48" s="2"/>
      <x:c r="F48" s="2"/>
      <x:c r="G48" s="2"/>
    </x:row>
    <x:row r="49" ht="20" customHeight="1">
      <x:c r="A49" s="2"/>
      <x:c r="B49" s="2"/>
      <x:c r="C49" s="2"/>
      <x:c r="D49" s="2"/>
      <x:c r="E49" s="2"/>
      <x:c r="F49" s="2"/>
      <x:c r="G49" s="2"/>
    </x:row>
    <x:row r="50" ht="20" customHeight="1">
      <x:c r="A50" s="2"/>
      <x:c r="B50" s="2"/>
      <x:c r="C50" s="2"/>
      <x:c r="D50" s="2"/>
      <x:c r="E50" s="2"/>
      <x:c r="F50" s="2"/>
      <x:c r="G50" s="2"/>
    </x:row>
    <x:row r="51" ht="20" customHeight="1">
      <x:c r="A51" s="2"/>
      <x:c r="B51" s="2"/>
      <x:c r="C51" s="2"/>
      <x:c r="D51" s="2"/>
      <x:c r="E51" s="2"/>
      <x:c r="F51" s="2"/>
      <x:c r="G51" s="2"/>
    </x:row>
    <x:row r="52" ht="20" customHeight="1">
      <x:c r="A52" s="2"/>
      <x:c r="B52" s="2"/>
      <x:c r="C52" s="2"/>
      <x:c r="D52" s="2"/>
      <x:c r="E52" s="2"/>
      <x:c r="F52" s="2"/>
      <x:c r="G52" s="2"/>
    </x:row>
    <x:row r="53" ht="20" customHeight="1">
      <x:c r="A53" s="2"/>
      <x:c r="B53" s="2"/>
      <x:c r="C53" s="2"/>
      <x:c r="D53" s="2"/>
      <x:c r="E53" s="2"/>
      <x:c r="F53" s="2"/>
      <x:c r="G53" s="2"/>
    </x:row>
    <x:row r="54" ht="20" customHeight="1">
      <x:c r="A54" s="2"/>
      <x:c r="B54" s="2"/>
      <x:c r="C54" s="2"/>
      <x:c r="D54" s="2"/>
      <x:c r="E54" s="2"/>
      <x:c r="F54" s="2"/>
      <x:c r="G54" s="2"/>
    </x:row>
    <x:row r="55" ht="20" customHeight="1">
      <x:c r="A55" s="2"/>
      <x:c r="B55" s="2"/>
      <x:c r="C55" s="2"/>
      <x:c r="D55" s="2"/>
      <x:c r="E55" s="2"/>
      <x:c r="F55" s="2"/>
      <x:c r="G55" s="2"/>
    </x:row>
    <x:row r="56" ht="20" customHeight="1">
      <x:c r="A56" s="2"/>
      <x:c r="B56" s="2"/>
      <x:c r="C56" s="2"/>
      <x:c r="D56" s="2"/>
      <x:c r="E56" s="2"/>
      <x:c r="F56" s="2"/>
      <x:c r="G56" s="2"/>
    </x:row>
    <x:row r="57" ht="20" customHeight="1">
      <x:c r="A57" s="2"/>
      <x:c r="B57" s="2"/>
      <x:c r="C57" s="2"/>
      <x:c r="D57" s="2"/>
      <x:c r="E57" s="2"/>
      <x:c r="F57" s="2"/>
      <x:c r="G57" s="2"/>
    </x:row>
    <x:row r="58" ht="20" customHeight="1">
      <x:c r="A58" s="2"/>
      <x:c r="B58" s="2"/>
      <x:c r="C58" s="2"/>
      <x:c r="D58" s="2"/>
      <x:c r="E58" s="2"/>
      <x:c r="F58" s="2"/>
      <x:c r="G58" s="2"/>
    </x:row>
    <x:row r="59" ht="20" customHeight="1">
      <x:c r="A59" s="2"/>
      <x:c r="B59" s="2"/>
      <x:c r="C59" s="2"/>
      <x:c r="D59" s="2"/>
      <x:c r="E59" s="2"/>
      <x:c r="F59" s="2"/>
      <x:c r="G59" s="2"/>
    </x:row>
    <x:row r="60" ht="20" customHeight="1">
      <x:c r="A60" s="2"/>
      <x:c r="B60" s="2"/>
      <x:c r="C60" s="2"/>
      <x:c r="D60" s="2"/>
      <x:c r="E60" s="2"/>
      <x:c r="F60" s="2"/>
      <x:c r="G60" s="2"/>
    </x:row>
    <x:row r="61" ht="20" customHeight="1">
      <x:c r="A61" s="2"/>
      <x:c r="B61" s="2"/>
      <x:c r="C61" s="2"/>
      <x:c r="D61" s="2"/>
      <x:c r="E61" s="2"/>
      <x:c r="F61" s="2"/>
      <x:c r="G61" s="2"/>
    </x:row>
    <x:row r="62" ht="20" customHeight="1">
      <x:c r="A62" s="2"/>
      <x:c r="B62" s="2"/>
      <x:c r="C62" s="2"/>
      <x:c r="D62" s="2"/>
      <x:c r="E62" s="2"/>
      <x:c r="F62" s="2"/>
      <x:c r="G62" s="2"/>
    </x:row>
    <x:row r="63" ht="20" customHeight="1">
      <x:c r="A63" s="2"/>
      <x:c r="B63" s="2"/>
      <x:c r="C63" s="2"/>
      <x:c r="D63" s="2"/>
      <x:c r="E63" s="2"/>
      <x:c r="F63" s="2"/>
      <x:c r="G63" s="2"/>
    </x:row>
    <x:row r="64" ht="20" customHeight="1">
      <x:c r="A64" s="2"/>
      <x:c r="B64" s="2"/>
      <x:c r="C64" s="2"/>
      <x:c r="D64" s="2"/>
      <x:c r="E64" s="2"/>
      <x:c r="F64" s="2"/>
      <x:c r="G64" s="2"/>
    </x:row>
    <x:row r="65" ht="20" customHeight="1">
      <x:c r="A65" s="2"/>
      <x:c r="B65" s="2"/>
      <x:c r="C65" s="2"/>
      <x:c r="D65" s="2"/>
      <x:c r="E65" s="2"/>
      <x:c r="F65" s="2"/>
      <x:c r="G65" s="2"/>
    </x:row>
    <x:row r="66" ht="20" customHeight="1">
      <x:c r="A66" s="2"/>
      <x:c r="B66" s="2"/>
      <x:c r="C66" s="2"/>
      <x:c r="D66" s="2"/>
      <x:c r="E66" s="2"/>
      <x:c r="F66" s="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9" hidden="0" customWidth="1"/>
    <x:col min="7" max="7" width="45" hidden="0" customWidth="1"/>
  </x:cols>
  <x:sheetData>
    <x:row r="1" ht="38" customHeight="1">
      <x:c r="A1" s="6" t="str">
        <x:v>DESGLOSE  |  INVERSIÓN, OPEX E IA</x:v>
      </x:c>
      <x:c r="B1" s="6"/>
      <x:c r="C1" s="6"/>
      <x:c r="D1" s="6"/>
      <x:c r="E1" s="6"/>
      <x:c r="F1" s="6"/>
      <x:c r="G1" s="6"/>
    </x:row>
    <x:row r="2" ht="28" customHeight="1">
      <x:c r="A2" s="11" t="str">
        <x:v>Costos ficticios, salvo tarifas oficiales por millón de tokens; precio WhatsApp depende de categoría, mercado y BSP</x:v>
      </x:c>
      <x:c r="B2" s="11"/>
      <x:c r="C2" s="11"/>
      <x:c r="D2" s="11"/>
      <x:c r="E2" s="11"/>
      <x:c r="F2" s="11"/>
      <x:c r="G2" s="11"/>
    </x:row>
    <x:row r="3" ht="20" customHeight="1">
      <x:c r="A3" s="2"/>
      <x:c r="B3" s="2"/>
      <x:c r="C3" s="2"/>
      <x:c r="D3" s="2"/>
      <x:c r="E3" s="2"/>
      <x:c r="F3" s="2"/>
      <x:c r="G3" s="2"/>
    </x:row>
    <x:row r="4" ht="27" customHeight="1">
      <x:c r="A4" s="16" t="str">
        <x:v>Componente</x:v>
      </x:c>
      <x:c r="B4" s="16" t="str">
        <x:v>COP / unidad</x:v>
      </x:c>
      <x:c r="C4" s="16" t="str">
        <x:v>Periodicidad</x:v>
      </x:c>
      <x:c r="D4" s="16" t="str">
        <x:v>Tipo</x:v>
      </x:c>
      <x:c r="E4" s="16" t="str">
        <x:v>ID / fuente</x:v>
      </x:c>
      <x:c r="F4" s="16" t="str">
        <x:v>Comentario</x:v>
      </x:c>
      <x:c r="G4" s="16" t="str">
        <x:v>Referencia web</x:v>
      </x:c>
    </x:row>
    <x:row r="5" ht="20" customHeight="1">
      <x:c r="A5" s="2" t="str">
        <x:v>Producto y UX + ingeniería</x:v>
      </x:c>
      <x:c r="B5" s="34" t="n">
        <x:v>40000000</x:v>
      </x:c>
      <x:c r="C5" s="2" t="str">
        <x:v>Inicial</x:v>
      </x:c>
      <x:c r="D5" s="2" t="str">
        <x:v>Hyp</x:v>
      </x:c>
      <x:c r="E5" s="2" t="str">
        <x:v>H33</x:v>
      </x:c>
      <x:c r="F5" s="2" t="str">
        <x:v>Equipo entrega piloto</x:v>
      </x:c>
      <x:c r="G5" s="2" t="str"/>
    </x:row>
    <x:row r="6" ht="20" customHeight="1">
      <x:c r="A6" s="2" t="str">
        <x:v>Integración CRM/DMS + QA</x:v>
      </x:c>
      <x:c r="B6" s="34" t="n">
        <x:v>12000000</x:v>
      </x:c>
      <x:c r="C6" s="2" t="str">
        <x:v>Inicial</x:v>
      </x:c>
      <x:c r="D6" s="2" t="str">
        <x:v>Hyp</x:v>
      </x:c>
      <x:c r="E6" s="2" t="str">
        <x:v>H34</x:v>
      </x:c>
      <x:c r="F6" s="2" t="str">
        <x:v>Adaptadores, pruebas, conectores mock</x:v>
      </x:c>
      <x:c r="G6" s="2" t="str"/>
    </x:row>
    <x:row r="7" ht="20" customHeight="1">
      <x:c r="A7" s="2" t="str">
        <x:v>Privacidad, seguridad y auditoría</x:v>
      </x:c>
      <x:c r="B7" s="34" t="n">
        <x:v>5000000</x:v>
      </x:c>
      <x:c r="C7" s="2" t="str">
        <x:v>Inicial</x:v>
      </x:c>
      <x:c r="D7" s="2" t="str">
        <x:v>Hyp</x:v>
      </x:c>
      <x:c r="E7" s="2" t="str">
        <x:v>H35</x:v>
      </x:c>
      <x:c r="F7" s="2" t="str">
        <x:v>Legal y appsec</x:v>
      </x:c>
      <x:c r="G7" s="2" t="str"/>
    </x:row>
    <x:row r="8" ht="20" customHeight="1">
      <x:c r="A8" s="2" t="str">
        <x:v>Capacitación + onboarding sedes</x:v>
      </x:c>
      <x:c r="B8" s="34" t="n">
        <x:v>8000000</x:v>
      </x:c>
      <x:c r="C8" s="2" t="str">
        <x:v>Inicial</x:v>
      </x:c>
      <x:c r="D8" s="2" t="str">
        <x:v>Hyp</x:v>
      </x:c>
      <x:c r="E8" s="2" t="str">
        <x:v>H36</x:v>
      </x:c>
      <x:c r="F8" s="2" t="str">
        <x:v>Manual, roles y procesos</x:v>
      </x:c>
      <x:c r="G8" s="2" t="str"/>
    </x:row>
    <x:row r="9" ht="20" customHeight="1">
      <x:c r="A9" s="2" t="str">
        <x:v>Contingencia inicial</x:v>
      </x:c>
      <x:c r="B9" s="34" t="n">
        <x:v>5000000</x:v>
      </x:c>
      <x:c r="C9" s="2" t="str">
        <x:v>Inicial</x:v>
      </x:c>
      <x:c r="D9" s="2" t="str">
        <x:v>Hyp</x:v>
      </x:c>
      <x:c r="E9" s="2" t="str">
        <x:v>H37</x:v>
      </x:c>
      <x:c r="F9" s="2" t="str">
        <x:v>Reserva de implementación</x:v>
      </x:c>
      <x:c r="G9" s="2" t="str"/>
    </x:row>
    <x:row r="10" ht="20" customHeight="1">
      <x:c r="A10" s="44" t="str">
        <x:v>TOTAL CAPEX INICIAL</x:v>
      </x:c>
      <x:c r="B10" s="45" t="n">
        <x:f>SUM(B5:B9)</x:f>
        <x:v>70000000</x:v>
      </x:c>
      <x:c r="C10" s="10"/>
      <x:c r="D10" s="10"/>
      <x:c r="E10" s="10"/>
      <x:c r="F10" s="10"/>
      <x:c r="G10" s="10"/>
    </x:row>
    <x:row r="11" ht="20" customHeight="1">
      <x:c r="A11" s="2"/>
      <x:c r="B11" s="35"/>
      <x:c r="C11" s="2"/>
      <x:c r="D11" s="2"/>
      <x:c r="E11" s="2"/>
      <x:c r="F11" s="2"/>
      <x:c r="G11" s="2"/>
    </x:row>
    <x:row r="12" ht="20" customHeight="1">
      <x:c r="A12" s="2" t="str">
        <x:v>Hosting + base datos</x:v>
      </x:c>
      <x:c r="B12" s="34" t="n">
        <x:v>10000000</x:v>
      </x:c>
      <x:c r="C12" s="2" t="str">
        <x:v>Anual</x:v>
      </x:c>
      <x:c r="D12" s="2" t="str">
        <x:v>Hyp</x:v>
      </x:c>
      <x:c r="E12" s="2" t="str">
        <x:v>H38</x:v>
      </x:c>
      <x:c r="F12" s="2" t="str">
        <x:v>Cloud y respaldo</x:v>
      </x:c>
      <x:c r="G12" s="2" t="str"/>
    </x:row>
    <x:row r="13" ht="20" customHeight="1">
      <x:c r="A13" s="2" t="str">
        <x:v>Mantenimiento software</x:v>
      </x:c>
      <x:c r="B13" s="34" t="n">
        <x:v>16000000</x:v>
      </x:c>
      <x:c r="C13" s="2" t="str">
        <x:v>Anual</x:v>
      </x:c>
      <x:c r="D13" s="2" t="str">
        <x:v>Hyp</x:v>
      </x:c>
      <x:c r="E13" s="2" t="str">
        <x:v>H39</x:v>
      </x:c>
      <x:c r="F13" s="2" t="str">
        <x:v>Cambios e incidencias</x:v>
      </x:c>
      <x:c r="G13" s="2" t="str"/>
    </x:row>
    <x:row r="14" ht="20" customHeight="1">
      <x:c r="A14" s="2" t="str">
        <x:v>Monitoreo y seguridad</x:v>
      </x:c>
      <x:c r="B14" s="34" t="n">
        <x:v>4000000</x:v>
      </x:c>
      <x:c r="C14" s="2" t="str">
        <x:v>Anual</x:v>
      </x:c>
      <x:c r="D14" s="2" t="str">
        <x:v>Hyp</x:v>
      </x:c>
      <x:c r="E14" s="2" t="str">
        <x:v>H40</x:v>
      </x:c>
      <x:c r="F14" s="2" t="str">
        <x:v>Logs, alertas, evaluaciones</x:v>
      </x:c>
      <x:c r="G14" s="2" t="str"/>
    </x:row>
    <x:row r="15" ht="20" customHeight="1">
      <x:c r="A15" s="2" t="str">
        <x:v>Herramientas operacionales</x:v>
      </x:c>
      <x:c r="B15" s="34" t="n">
        <x:v>2000000</x:v>
      </x:c>
      <x:c r="C15" s="2" t="str">
        <x:v>Anual</x:v>
      </x:c>
      <x:c r="D15" s="2" t="str">
        <x:v>Hyp</x:v>
      </x:c>
      <x:c r="E15" s="2" t="str">
        <x:v>H41</x:v>
      </x:c>
      <x:c r="F15" s="2" t="str">
        <x:v>Reporting, soporte y QA</x:v>
      </x:c>
      <x:c r="G15" s="2" t="str"/>
    </x:row>
    <x:row r="16" ht="20" customHeight="1">
      <x:c r="A16" s="44" t="str">
        <x:v>TOTAL TECNOLOGÍA FIJA ANUAL</x:v>
      </x:c>
      <x:c r="B16" s="45" t="n">
        <x:f>SUM(B12:B15)</x:f>
        <x:v>32000000</x:v>
      </x:c>
      <x:c r="C16" s="10"/>
      <x:c r="D16" s="10"/>
      <x:c r="E16" s="10"/>
      <x:c r="F16" s="10"/>
      <x:c r="G16" s="10"/>
    </x:row>
    <x:row r="17" ht="20" customHeight="1">
      <x:c r="A17" s="2"/>
      <x:c r="B17" s="35"/>
      <x:c r="C17" s="2"/>
      <x:c r="D17" s="2"/>
      <x:c r="E17" s="2"/>
      <x:c r="F17" s="2"/>
      <x:c r="G17" s="2"/>
    </x:row>
    <x:row r="18" ht="20" customHeight="1">
      <x:c r="A18" s="2" t="str">
        <x:v>Supervisión postventa</x:v>
      </x:c>
      <x:c r="B18" s="34" t="n">
        <x:v>6000000</x:v>
      </x:c>
      <x:c r="C18" s="2" t="str">
        <x:v>Anual</x:v>
      </x:c>
      <x:c r="D18" s="2" t="str">
        <x:v>Hyp</x:v>
      </x:c>
      <x:c r="E18" s="2" t="str">
        <x:v>H42</x:v>
      </x:c>
      <x:c r="F18" s="2" t="str">
        <x:v>Intervención no incluida en coste marginal</x:v>
      </x:c>
      <x:c r="G18" s="2" t="str"/>
    </x:row>
    <x:row r="19" ht="20" customHeight="1">
      <x:c r="A19" s="2" t="str">
        <x:v>Gobernanza + cumplimiento</x:v>
      </x:c>
      <x:c r="B19" s="34" t="n">
        <x:v>3000000</x:v>
      </x:c>
      <x:c r="C19" s="2" t="str">
        <x:v>Anual</x:v>
      </x:c>
      <x:c r="D19" s="2" t="str">
        <x:v>Hyp</x:v>
      </x:c>
      <x:c r="E19" s="2" t="str">
        <x:v>H43</x:v>
      </x:c>
      <x:c r="F19" s="2" t="str">
        <x:v>Responsable de calidad</x:v>
      </x:c>
      <x:c r="G19" s="2" t="str"/>
    </x:row>
    <x:row r="20" ht="20" customHeight="1">
      <x:c r="A20" s="2" t="str">
        <x:v>Capacitación continua</x:v>
      </x:c>
      <x:c r="B20" s="34" t="n">
        <x:v>3000000</x:v>
      </x:c>
      <x:c r="C20" s="2" t="str">
        <x:v>Anual</x:v>
      </x:c>
      <x:c r="D20" s="2" t="str">
        <x:v>Hyp</x:v>
      </x:c>
      <x:c r="E20" s="2" t="str">
        <x:v>H44</x:v>
      </x:c>
      <x:c r="F20" s="2" t="str">
        <x:v>Nuevo personal y revisión procesos</x:v>
      </x:c>
      <x:c r="G20" s="2" t="str"/>
    </x:row>
    <x:row r="21" ht="20" customHeight="1">
      <x:c r="A21" s="44" t="str">
        <x:v>TOTAL SOPORTE FIJO ANUAL</x:v>
      </x:c>
      <x:c r="B21" s="45" t="n">
        <x:f>SUM(B18:B20)</x:f>
        <x:v>12000000</x:v>
      </x:c>
      <x:c r="C21" s="10"/>
      <x:c r="D21" s="10"/>
      <x:c r="E21" s="10"/>
      <x:c r="F21" s="10"/>
      <x:c r="G21" s="10"/>
    </x:row>
    <x:row r="22" ht="24" customHeight="1">
      <x:c r="A22" s="30" t="str">
        <x:v>CONSUMO VARIABLE DE IA — MODELO CONFIGURABLE</x:v>
      </x:c>
      <x:c r="B22" s="36"/>
      <x:c r="C22" s="30"/>
      <x:c r="D22" s="30"/>
      <x:c r="E22" s="30"/>
      <x:c r="F22" s="30"/>
      <x:c r="G22" s="30"/>
    </x:row>
    <x:row r="23" ht="20" customHeight="1">
      <x:c r="A23" s="2" t="str">
        <x:v>Proveedor / modelo</x:v>
      </x:c>
      <x:c r="B23" s="35" t="str">
        <x:v>Claude Sonnet 4.6</x:v>
      </x:c>
      <x:c r="C23" s="2" t="str">
        <x:v>Proveedor</x:v>
      </x:c>
      <x:c r="D23" s="2" t="str">
        <x:v>Tarifa lista Anthropic</x:v>
      </x:c>
      <x:c r="E23" s="2" t="str">
        <x:v>S04</x:v>
      </x:c>
      <x:c r="F23" s="2" t="str">
        <x:v>Precio modelo y uso editables</x:v>
      </x:c>
      <x:c r="G23" s="2" t="str"/>
    </x:row>
    <x:row r="24" ht="20" customHeight="1">
      <x:c r="A24" s="2" t="str">
        <x:v>USD / millón tokens input</x:v>
      </x:c>
      <x:c r="B24" s="34" t="n">
        <x:v>3</x:v>
      </x:c>
      <x:c r="C24" s="2" t="str">
        <x:v>USD/MTok</x:v>
      </x:c>
      <x:c r="D24" s="2" t="str">
        <x:v>Tarifa oficial</x:v>
      </x:c>
      <x:c r="E24" s="2" t="str">
        <x:v>S04</x:v>
      </x:c>
      <x:c r="F24" s="2" t="str">
        <x:v>Precio modelo y uso editables</x:v>
      </x:c>
      <x:c r="G24" s="2" t="str">
        <x:v>https://platform.claude.com/docs/en/about-claude/pricing</x:v>
      </x:c>
    </x:row>
    <x:row r="25" ht="20" customHeight="1">
      <x:c r="A25" s="2" t="str">
        <x:v>USD / millón tokens output</x:v>
      </x:c>
      <x:c r="B25" s="34" t="n">
        <x:v>15</x:v>
      </x:c>
      <x:c r="C25" s="2" t="str">
        <x:v>USD/MTok</x:v>
      </x:c>
      <x:c r="D25" s="2" t="str">
        <x:v>Tarifa oficial</x:v>
      </x:c>
      <x:c r="E25" s="2" t="str">
        <x:v>S04</x:v>
      </x:c>
      <x:c r="F25" s="2" t="str">
        <x:v>Precio modelo y uso editables</x:v>
      </x:c>
      <x:c r="G25" s="2" t="str">
        <x:v>https://platform.claude.com/docs/en/about-claude/pricing</x:v>
      </x:c>
    </x:row>
    <x:row r="26" ht="20" customHeight="1">
      <x:c r="A26" s="2" t="str">
        <x:v>Tokens input / conversación</x:v>
      </x:c>
      <x:c r="B26" s="34" t="n">
        <x:v>25000</x:v>
      </x:c>
      <x:c r="C26" s="2" t="str">
        <x:v>tokens</x:v>
      </x:c>
      <x:c r="D26" s="2" t="str">
        <x:v>Hipótesis de uso</x:v>
      </x:c>
      <x:c r="E26" s="2" t="str">
        <x:v>H45</x:v>
      </x:c>
      <x:c r="F26" s="2" t="str">
        <x:v>Precio modelo y uso editables</x:v>
      </x:c>
      <x:c r="G26" s="2" t="str"/>
    </x:row>
    <x:row r="27" ht="20" customHeight="1">
      <x:c r="A27" s="2" t="str">
        <x:v>Tokens output / conversación</x:v>
      </x:c>
      <x:c r="B27" s="34" t="n">
        <x:v>5000</x:v>
      </x:c>
      <x:c r="C27" s="2" t="str">
        <x:v>tokens</x:v>
      </x:c>
      <x:c r="D27" s="2" t="str">
        <x:v>Hipótesis de uso</x:v>
      </x:c>
      <x:c r="E27" s="2" t="str">
        <x:v>H46</x:v>
      </x:c>
      <x:c r="F27" s="2" t="str">
        <x:v>Precio modelo y uso editables</x:v>
      </x:c>
      <x:c r="G27" s="2" t="str"/>
    </x:row>
    <x:row r="28" ht="20" customHeight="1">
      <x:c r="A28" s="2" t="str">
        <x:v>COP por USD proyectado</x:v>
      </x:c>
      <x:c r="B28" s="34" t="n">
        <x:v>4000</x:v>
      </x:c>
      <x:c r="C28" s="2" t="str">
        <x:v>COP/USD</x:v>
      </x:c>
      <x:c r="D28" s="2" t="str">
        <x:v>Supuesto FX, NO cotización spot</x:v>
      </x:c>
      <x:c r="E28" s="2" t="str">
        <x:v>H47</x:v>
      </x:c>
      <x:c r="F28" s="2" t="str">
        <x:v>Precio modelo y uso editables</x:v>
      </x:c>
      <x:c r="G28" s="2" t="str"/>
    </x:row>
    <x:row r="29" ht="20" customHeight="1">
      <x:c r="A29" s="2" t="str">
        <x:v>Overhead IA: reintentos, evals y trazas</x:v>
      </x:c>
      <x:c r="B29" s="40" t="n">
        <x:v>0.3</x:v>
      </x:c>
      <x:c r="C29" s="2" t="str">
        <x:v>%</x:v>
      </x:c>
      <x:c r="D29" s="2" t="str">
        <x:v>Supuesto operativo</x:v>
      </x:c>
      <x:c r="E29" s="2" t="str">
        <x:v>H48</x:v>
      </x:c>
      <x:c r="F29" s="2" t="str">
        <x:v>Precio modelo y uso editables</x:v>
      </x:c>
      <x:c r="G29" s="2" t="str"/>
    </x:row>
    <x:row r="30" ht="20" customHeight="1">
      <x:c r="A30" s="44" t="str">
        <x:v>IA: COSTO UNITARIO / CONVERSACIÓN (COP)</x:v>
      </x:c>
      <x:c r="B30" s="45" t="n">
        <x:f>((B26/1000000*B24)+(B27/1000000*B25))*B28*(1+B29)</x:f>
        <x:v>780.0000000000002</x:v>
      </x:c>
      <x:c r="C30" s="10"/>
      <x:c r="D30" s="10"/>
      <x:c r="E30" s="10"/>
      <x:c r="F30" s="10"/>
      <x:c r="G30" s="10"/>
    </x:row>
    <x:row r="31" ht="20" customHeight="1">
      <x:c r="A31" s="2"/>
      <x:c r="B31" s="2"/>
      <x:c r="C31" s="2"/>
      <x:c r="D31" s="2"/>
      <x:c r="E31" s="2"/>
      <x:c r="F31" s="2"/>
      <x:c r="G31" s="2"/>
    </x:row>
    <x:row r="32" ht="20" customHeight="1">
      <x:c r="A32" s="2"/>
      <x:c r="B32" s="2"/>
      <x:c r="C32" s="2"/>
      <x:c r="D32" s="2"/>
      <x:c r="E32" s="2"/>
      <x:c r="F32" s="2"/>
      <x:c r="G32" s="2"/>
    </x:row>
    <x:row r="33" ht="20" customHeight="1">
      <x:c r="A33" s="2"/>
      <x:c r="B33" s="2"/>
      <x:c r="C33" s="2"/>
      <x:c r="D33" s="2"/>
      <x:c r="E33" s="2"/>
      <x:c r="F33" s="2"/>
      <x:c r="G33" s="2"/>
    </x:row>
    <x:row r="34" ht="20" customHeight="1">
      <x:c r="A34" s="2"/>
      <x:c r="B34" s="2"/>
      <x:c r="C34" s="2"/>
      <x:c r="D34" s="2"/>
      <x:c r="E34" s="2"/>
      <x:c r="F34" s="2"/>
      <x:c r="G34" s="2"/>
    </x:row>
    <x:row r="35" ht="20" customHeight="1">
      <x:c r="A35" s="2"/>
      <x:c r="B35" s="2"/>
      <x:c r="C35" s="2"/>
      <x:c r="D35" s="2"/>
      <x:c r="E35" s="2"/>
      <x:c r="F35" s="2"/>
      <x:c r="G35" s="2"/>
    </x:row>
    <x:row r="36" ht="20" customHeight="1">
      <x:c r="A36" s="2"/>
      <x:c r="B36" s="2"/>
      <x:c r="C36" s="2"/>
      <x:c r="D36" s="2"/>
      <x:c r="E36" s="2"/>
      <x:c r="F36" s="2"/>
      <x:c r="G36" s="2"/>
    </x:row>
    <x:row r="37" ht="20" customHeight="1">
      <x:c r="A37" s="2"/>
      <x:c r="B37" s="2"/>
      <x:c r="C37" s="2"/>
      <x:c r="D37" s="2"/>
      <x:c r="E37" s="2"/>
      <x:c r="F37" s="2"/>
      <x:c r="G37" s="2"/>
    </x:row>
    <x:row r="38" ht="20" customHeight="1">
      <x:c r="A38" s="2"/>
      <x:c r="B38" s="2"/>
      <x:c r="C38" s="2"/>
      <x:c r="D38" s="2"/>
      <x:c r="E38" s="2"/>
      <x:c r="F38" s="2"/>
      <x:c r="G38" s="2"/>
    </x:row>
    <x:row r="39" ht="20" customHeight="1">
      <x:c r="A39" s="2"/>
      <x:c r="B39" s="2"/>
      <x:c r="C39" s="2"/>
      <x:c r="D39" s="2"/>
      <x:c r="E39" s="2"/>
      <x:c r="F39" s="2"/>
      <x:c r="G39" s="2"/>
    </x:row>
    <x:row r="40" ht="20" customHeight="1">
      <x:c r="A40" s="2"/>
      <x:c r="B40" s="2"/>
      <x:c r="C40" s="2"/>
      <x:c r="D40" s="2"/>
      <x:c r="E40" s="2"/>
      <x:c r="F40" s="2"/>
      <x:c r="G40" s="2"/>
    </x:row>
    <x:row r="41" ht="20" customHeight="1">
      <x:c r="A41" s="2"/>
      <x:c r="B41" s="2"/>
      <x:c r="C41" s="2"/>
      <x:c r="D41" s="2"/>
      <x:c r="E41" s="2"/>
      <x:c r="F41" s="2"/>
      <x:c r="G41" s="2"/>
    </x:row>
    <x:row r="42" ht="20" customHeight="1">
      <x:c r="A42" s="2"/>
      <x:c r="B42" s="2"/>
      <x:c r="C42" s="2"/>
      <x:c r="D42" s="2"/>
      <x:c r="E42" s="2"/>
      <x:c r="F42" s="2"/>
      <x:c r="G42" s="2"/>
    </x:row>
    <x:row r="43" ht="20" customHeight="1">
      <x:c r="A43" s="2"/>
      <x:c r="B43" s="2"/>
      <x:c r="C43" s="2"/>
      <x:c r="D43" s="2"/>
      <x:c r="E43" s="2"/>
      <x:c r="F43" s="2"/>
      <x:c r="G43" s="2"/>
    </x:row>
    <x:row r="44" ht="20" customHeight="1">
      <x:c r="A44" s="2"/>
      <x:c r="B44" s="2"/>
      <x:c r="C44" s="2"/>
      <x:c r="D44" s="2"/>
      <x:c r="E44" s="2"/>
      <x:c r="F44" s="2"/>
      <x:c r="G44" s="2"/>
    </x:row>
    <x:row r="45" ht="20" customHeight="1">
      <x:c r="A45" s="2"/>
      <x:c r="B45" s="2"/>
      <x:c r="C45" s="2"/>
      <x:c r="D45" s="2"/>
      <x:c r="E45" s="2"/>
      <x:c r="F45" s="2"/>
      <x:c r="G45" s="2"/>
    </x:row>
    <x:row r="46" ht="20" customHeight="1">
      <x:c r="A46" s="2"/>
      <x:c r="B46" s="2"/>
      <x:c r="C46" s="2"/>
      <x:c r="D46" s="2"/>
      <x:c r="E46" s="2"/>
      <x:c r="F46" s="2"/>
      <x:c r="G46" s="2"/>
    </x:row>
    <x:row r="47" ht="20" customHeight="1">
      <x:c r="A47" s="2"/>
      <x:c r="B47" s="2"/>
      <x:c r="C47" s="2"/>
      <x:c r="D47" s="2"/>
      <x:c r="E47" s="2"/>
      <x:c r="F47" s="2"/>
      <x:c r="G47" s="2"/>
    </x:row>
    <x:row r="48" ht="20" customHeight="1">
      <x:c r="A48" s="2"/>
      <x:c r="B48" s="2"/>
      <x:c r="C48" s="2"/>
      <x:c r="D48" s="2"/>
      <x:c r="E48" s="2"/>
      <x:c r="F48" s="2"/>
      <x:c r="G48" s="2"/>
    </x:row>
    <x:row r="49" ht="20" customHeight="1">
      <x:c r="A49" s="2"/>
      <x:c r="B49" s="2"/>
      <x:c r="C49" s="2"/>
      <x:c r="D49" s="2"/>
      <x:c r="E49" s="2"/>
      <x:c r="F49" s="2"/>
      <x:c r="G49" s="2"/>
    </x:row>
    <x:row r="50" ht="20" customHeight="1">
      <x:c r="A50" s="2"/>
      <x:c r="B50" s="2"/>
      <x:c r="C50" s="2"/>
      <x:c r="D50" s="2"/>
      <x:c r="E50" s="2"/>
      <x:c r="F50" s="2"/>
      <x:c r="G50" s="2"/>
    </x:row>
    <x:row r="51" ht="20" customHeight="1">
      <x:c r="A51" s="2"/>
      <x:c r="B51" s="2"/>
      <x:c r="C51" s="2"/>
      <x:c r="D51" s="2"/>
      <x:c r="E51" s="2"/>
      <x:c r="F51" s="2"/>
      <x:c r="G51" s="2"/>
    </x:row>
    <x:row r="52" ht="20" customHeight="1">
      <x:c r="A52" s="2"/>
      <x:c r="B52" s="2"/>
      <x:c r="C52" s="2"/>
      <x:c r="D52" s="2"/>
      <x:c r="E52" s="2"/>
      <x:c r="F52" s="2"/>
      <x:c r="G52" s="2"/>
    </x:row>
    <x:row r="53" ht="20" customHeight="1">
      <x:c r="A53" s="2"/>
      <x:c r="B53" s="2"/>
      <x:c r="C53" s="2"/>
      <x:c r="D53" s="2"/>
      <x:c r="E53" s="2"/>
      <x:c r="F53" s="2"/>
      <x:c r="G53" s="2"/>
    </x:row>
    <x:row r="54" ht="20" customHeight="1">
      <x:c r="A54" s="2"/>
      <x:c r="B54" s="2"/>
      <x:c r="C54" s="2"/>
      <x:c r="D54" s="2"/>
      <x:c r="E54" s="2"/>
      <x:c r="F54" s="2"/>
      <x:c r="G54" s="2"/>
    </x:row>
    <x:row r="55" ht="20" customHeight="1">
      <x:c r="A55" s="2"/>
      <x:c r="B55" s="2"/>
      <x:c r="C55" s="2"/>
      <x:c r="D55" s="2"/>
      <x:c r="E55" s="2"/>
      <x:c r="F55" s="2"/>
      <x:c r="G55" s="2"/>
    </x:row>
    <x:row r="56" ht="20" customHeight="1">
      <x:c r="A56" s="2"/>
      <x:c r="B56" s="2"/>
      <x:c r="C56" s="2"/>
      <x:c r="D56" s="2"/>
      <x:c r="E56" s="2"/>
      <x:c r="F56" s="2"/>
      <x:c r="G56" s="2"/>
    </x:row>
    <x:row r="57" ht="20" customHeight="1">
      <x:c r="A57" s="2"/>
      <x:c r="B57" s="2"/>
      <x:c r="C57" s="2"/>
      <x:c r="D57" s="2"/>
      <x:c r="E57" s="2"/>
      <x:c r="F57" s="2"/>
      <x:c r="G57" s="2"/>
    </x:row>
    <x:row r="58" ht="20" customHeight="1">
      <x:c r="A58" s="2"/>
      <x:c r="B58" s="2"/>
      <x:c r="C58" s="2"/>
      <x:c r="D58" s="2"/>
      <x:c r="E58" s="2"/>
      <x:c r="F58" s="2"/>
      <x:c r="G58" s="2"/>
    </x:row>
    <x:row r="59" ht="20" customHeight="1">
      <x:c r="A59" s="2"/>
      <x:c r="B59" s="2"/>
      <x:c r="C59" s="2"/>
      <x:c r="D59" s="2"/>
      <x:c r="E59" s="2"/>
      <x:c r="F59" s="2"/>
      <x:c r="G59" s="2"/>
    </x:row>
    <x:row r="60" ht="20" customHeight="1">
      <x:c r="A60" s="2"/>
      <x:c r="B60" s="2"/>
      <x:c r="C60" s="2"/>
      <x:c r="D60" s="2"/>
      <x:c r="E60" s="2"/>
      <x:c r="F60" s="2"/>
      <x:c r="G60" s="2"/>
    </x:row>
    <x:row r="61" ht="20" customHeight="1">
      <x:c r="A61" s="2"/>
      <x:c r="B61" s="2"/>
      <x:c r="C61" s="2"/>
      <x:c r="D61" s="2"/>
      <x:c r="E61" s="2"/>
      <x:c r="F61" s="2"/>
      <x:c r="G61" s="2"/>
    </x:row>
    <x:row r="62" ht="20" customHeight="1">
      <x:c r="A62" s="2"/>
      <x:c r="B62" s="2"/>
      <x:c r="C62" s="2"/>
      <x:c r="D62" s="2"/>
      <x:c r="E62" s="2"/>
      <x:c r="F62" s="2"/>
      <x:c r="G62" s="2"/>
    </x:row>
    <x:row r="63" ht="20" customHeight="1">
      <x:c r="A63" s="2"/>
      <x:c r="B63" s="2"/>
      <x:c r="C63" s="2"/>
      <x:c r="D63" s="2"/>
      <x:c r="E63" s="2"/>
      <x:c r="F63" s="2"/>
      <x:c r="G63" s="2"/>
    </x:row>
    <x:row r="64" ht="20" customHeight="1">
      <x:c r="A64" s="2"/>
      <x:c r="B64" s="2"/>
      <x:c r="C64" s="2"/>
      <x:c r="D64" s="2"/>
      <x:c r="E64" s="2"/>
      <x:c r="F64" s="2"/>
      <x:c r="G64" s="2"/>
    </x:row>
    <x:row r="65" ht="20" customHeight="1">
      <x:c r="A65" s="2"/>
      <x:c r="B65" s="2"/>
      <x:c r="C65" s="2"/>
      <x:c r="D65" s="2"/>
      <x:c r="E65" s="2"/>
      <x:c r="F65" s="2"/>
      <x:c r="G65" s="2"/>
    </x:row>
    <x:row r="66" ht="20" customHeight="1">
      <x:c r="A66" s="2"/>
      <x:c r="B66" s="2"/>
      <x:c r="C66" s="2"/>
      <x:c r="D66" s="2"/>
      <x:c r="E66" s="2"/>
      <x:c r="F66" s="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G1"/>
    <x:mergeCell ref="A2:G2"/>
    <x:mergeCell ref="A22:G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0" hidden="0" customWidth="1"/>
    <x:col min="7" max="7" width="30" hidden="0" customWidth="1"/>
  </x:cols>
  <x:sheetData>
    <x:row r="1" ht="38" customHeight="1">
      <x:c r="A1" s="6" t="str">
        <x:v>VEHICLE CARE  |  ESCENARIO PESIMISTA</x:v>
      </x:c>
      <x:c r="B1" s="6"/>
      <x:c r="C1" s="6"/>
      <x:c r="D1" s="6"/>
      <x:c r="E1" s="6"/>
      <x:c r="F1" s="6"/>
      <x:c r="G1" s="2"/>
    </x:row>
    <x:row r="2" ht="28" customHeight="1">
      <x:c r="A2" s="11" t="str">
        <x:v>Cohortes de entregas ≤180 días · Flujo incremental vs operación habitual · COP nominales sin IVA</x:v>
      </x:c>
      <x:c r="B2" s="11"/>
      <x:c r="C2" s="11"/>
      <x:c r="D2" s="11"/>
      <x:c r="E2" s="11"/>
      <x:c r="F2" s="11"/>
      <x:c r="G2" s="2"/>
    </x:row>
    <x:row r="3" ht="20" customHeight="1">
      <x:c r="A3" s="2"/>
      <x:c r="B3" s="2"/>
      <x:c r="C3" s="2"/>
      <x:c r="D3" s="2"/>
      <x:c r="E3" s="2"/>
      <x:c r="F3" s="2"/>
      <x:c r="G3" s="2"/>
    </x:row>
    <x:row r="4" ht="27" customHeight="1">
      <x:c r="A4" s="16" t="str">
        <x:v>Funnel / unidad</x:v>
      </x:c>
      <x:c r="B4" s="16" t="str">
        <x:v>Año 0 · 2026</x:v>
      </x:c>
      <x:c r="C4" s="16" t="str">
        <x:v>Año 1 · 2027</x:v>
      </x:c>
      <x:c r="D4" s="16" t="str">
        <x:v>Año 2 · 2028</x:v>
      </x:c>
      <x:c r="E4" s="16" t="str">
        <x:v>Año 3 · 2029</x:v>
      </x:c>
      <x:c r="F4" s="2"/>
      <x:c r="G4" s="2"/>
    </x:row>
    <x:row r="5" ht="20" customHeight="1">
      <x:c r="A5" s="50" t="str">
        <x:v>Ventas usados red (veh./año)</x:v>
      </x:c>
      <x:c r="B5" s="56"/>
      <x:c r="C5" s="58" t="n">
        <x:f>Supuestos!$B$5*Supuestos!$B$6*12*(1+Supuestos!$B$7)^(1-1)</x:f>
        <x:v>7200</x:v>
      </x:c>
      <x:c r="D5" s="58" t="n">
        <x:f>Supuestos!$B$5*Supuestos!$B$6*12*(1+Supuestos!$B$7)^(2-1)</x:f>
        <x:v>7200</x:v>
      </x:c>
      <x:c r="E5" s="58" t="n">
        <x:f>Supuestos!$B$5*Supuestos!$B$6*12*(1+Supuestos!$B$7)^(3-1)</x:f>
        <x:v>7200</x:v>
      </x:c>
      <x:c r="F5" s="82"/>
      <x:c r="G5" s="2"/>
    </x:row>
    <x:row r="6" ht="20" customHeight="1">
      <x:c r="A6" s="2" t="str">
        <x:v>Cobertura operativa del producto</x:v>
      </x:c>
      <x:c r="B6" s="35"/>
      <x:c r="C6" s="59" t="n">
        <x:f>Supuestos!$B$8</x:f>
        <x:v>0.4</x:v>
      </x:c>
      <x:c r="D6" s="59" t="n">
        <x:f>Supuestos!$B$9</x:f>
        <x:v>0.65</x:v>
      </x:c>
      <x:c r="E6" s="59" t="n">
        <x:f>Supuestos!$B$10</x:f>
        <x:v>0.75</x:v>
      </x:c>
      <x:c r="F6" s="82"/>
      <x:c r="G6" s="2"/>
    </x:row>
    <x:row r="7" ht="20" customHeight="1">
      <x:c r="A7" s="2" t="str">
        <x:v>Entregas incorporadas (cohorte)</x:v>
      </x:c>
      <x:c r="B7" s="35"/>
      <x:c r="C7" s="60" t="n">
        <x:f>C5*C6</x:f>
        <x:v>2880</x:v>
      </x:c>
      <x:c r="D7" s="60" t="n">
        <x:f>D5*D6</x:f>
        <x:v>4680</x:v>
      </x:c>
      <x:c r="E7" s="60" t="n">
        <x:f>E5*E6</x:f>
        <x:v>5400</x:v>
      </x:c>
      <x:c r="F7" s="82"/>
      <x:c r="G7" s="2"/>
    </x:row>
    <x:row r="8" ht="20" customHeight="1">
      <x:c r="A8" s="2" t="str">
        <x:v>% servicio exigible en 180 días</x:v>
      </x:c>
      <x:c r="B8" s="35"/>
      <x:c r="C8" s="59" t="n">
        <x:f>Supuestos!$B$11</x:f>
        <x:v>0.55</x:v>
      </x:c>
      <x:c r="D8" s="59" t="n">
        <x:f>Supuestos!$B$11</x:f>
        <x:v>0.55</x:v>
      </x:c>
      <x:c r="E8" s="59" t="n">
        <x:f>Supuestos!$B$11</x:f>
        <x:v>0.55</x:v>
      </x:c>
      <x:c r="F8" s="82"/>
      <x:c r="G8" s="2"/>
    </x:row>
    <x:row r="9" ht="20" customHeight="1">
      <x:c r="A9" s="2" t="str">
        <x:v>Entregas con necesidad de servicio</x:v>
      </x:c>
      <x:c r="B9" s="35"/>
      <x:c r="C9" s="60" t="n">
        <x:f>C7*C8</x:f>
        <x:v>1584.0000000000002</x:v>
      </x:c>
      <x:c r="D9" s="60" t="n">
        <x:f>D7*D8</x:f>
        <x:v>2574</x:v>
      </x:c>
      <x:c r="E9" s="60" t="n">
        <x:f>E7*E8</x:f>
        <x:v>2970.0000000000005</x:v>
      </x:c>
      <x:c r="F9" s="82"/>
      <x:c r="G9" s="2"/>
    </x:row>
    <x:row r="10" ht="20" customHeight="1">
      <x:c r="A10" s="2" t="str">
        <x:v>% plan/historial suficiente</x:v>
      </x:c>
      <x:c r="B10" s="35"/>
      <x:c r="C10" s="59" t="n">
        <x:f>Supuestos!$B$12</x:f>
        <x:v>0.6</x:v>
      </x:c>
      <x:c r="D10" s="59" t="n">
        <x:f>Supuestos!$B$12</x:f>
        <x:v>0.6</x:v>
      </x:c>
      <x:c r="E10" s="59" t="n">
        <x:f>Supuestos!$B$12</x:f>
        <x:v>0.6</x:v>
      </x:c>
      <x:c r="F10" s="82"/>
      <x:c r="G10" s="2"/>
    </x:row>
    <x:row r="11" ht="20" customHeight="1">
      <x:c r="A11" s="2" t="str">
        <x:v>Entregas técnicamente accionables</x:v>
      </x:c>
      <x:c r="B11" s="35"/>
      <x:c r="C11" s="60" t="n">
        <x:f>C9*C10</x:f>
        <x:v>950.4000000000001</x:v>
      </x:c>
      <x:c r="D11" s="60" t="n">
        <x:f>D9*D10</x:f>
        <x:v>1544.3999999999999</x:v>
      </x:c>
      <x:c r="E11" s="60" t="n">
        <x:f>E9*E10</x:f>
        <x:v>1782.0000000000002</x:v>
      </x:c>
      <x:c r="F11" s="82"/>
      <x:c r="G11" s="2"/>
    </x:row>
    <x:row r="12" ht="20" customHeight="1">
      <x:c r="A12" s="2" t="str">
        <x:v>% consentimiento válido</x:v>
      </x:c>
      <x:c r="B12" s="35"/>
      <x:c r="C12" s="59" t="n">
        <x:f>Supuestos!$B$13</x:f>
        <x:v>0.45</x:v>
      </x:c>
      <x:c r="D12" s="59" t="n">
        <x:f>Supuestos!$B$13</x:f>
        <x:v>0.45</x:v>
      </x:c>
      <x:c r="E12" s="59" t="n">
        <x:f>Supuestos!$B$13</x:f>
        <x:v>0.45</x:v>
      </x:c>
      <x:c r="F12" s="82"/>
      <x:c r="G12" s="2"/>
    </x:row>
    <x:row r="13" ht="20" customHeight="1">
      <x:c r="A13" s="2" t="str">
        <x:v>% contactabilidad</x:v>
      </x:c>
      <x:c r="B13" s="35"/>
      <x:c r="C13" s="59" t="n">
        <x:f>Supuestos!$B$14</x:f>
        <x:v>0.75</x:v>
      </x:c>
      <x:c r="D13" s="59" t="n">
        <x:f>Supuestos!$B$14</x:f>
        <x:v>0.75</x:v>
      </x:c>
      <x:c r="E13" s="59" t="n">
        <x:f>Supuestos!$B$14</x:f>
        <x:v>0.75</x:v>
      </x:c>
      <x:c r="F13" s="82"/>
      <x:c r="G13" s="2"/>
    </x:row>
    <x:row r="14" ht="20" customHeight="1">
      <x:c r="A14" s="2" t="str">
        <x:v>Clientes contactables de esa cohorte</x:v>
      </x:c>
      <x:c r="B14" s="35"/>
      <x:c r="C14" s="60" t="n">
        <x:f>C11*C12*C13</x:f>
        <x:v>320.76000000000005</x:v>
      </x:c>
      <x:c r="D14" s="60" t="n">
        <x:f>D11*D12*D13</x:f>
        <x:v>521.2349999999999</x:v>
      </x:c>
      <x:c r="E14" s="60" t="n">
        <x:f>E11*E12*E13</x:f>
        <x:v>601.4250000000001</x:v>
      </x:c>
      <x:c r="F14" s="82" t="str">
        <x:v>Elegible de la cohorte; contacto ocurre según vencimiento</x:v>
      </x:c>
      <x:c r="G14" s="2"/>
    </x:row>
    <x:row r="15" ht="20" customHeight="1">
      <x:c r="A15" s="2" t="str">
        <x:v>% oportunidad misma anualidad</x:v>
      </x:c>
      <x:c r="B15" s="35"/>
      <x:c r="C15" s="59" t="n">
        <x:f>Supuestos!$B$15</x:f>
        <x:v>0.75</x:v>
      </x:c>
      <x:c r="D15" s="59" t="n">
        <x:f>Supuestos!$B$15</x:f>
        <x:v>0.75</x:v>
      </x:c>
      <x:c r="E15" s="59" t="n">
        <x:f>Supuestos!$B$15</x:f>
        <x:v>0.75</x:v>
      </x:c>
      <x:c r="F15" s="82"/>
      <x:c r="G15" s="2"/>
    </x:row>
    <x:row r="16" ht="20" customHeight="1">
      <x:c r="A16" s="2" t="str">
        <x:v>Oportunidades de la cohorte actual</x:v>
      </x:c>
      <x:c r="B16" s="35"/>
      <x:c r="C16" s="60" t="n">
        <x:f>C14*C15</x:f>
        <x:v>240.57000000000005</x:v>
      </x:c>
      <x:c r="D16" s="60" t="n">
        <x:f>D14*D15</x:f>
        <x:v>390.9262499999999</x:v>
      </x:c>
      <x:c r="E16" s="60" t="n">
        <x:f>E14*E15</x:f>
        <x:v>451.06875</x:v>
      </x:c>
      <x:c r="F16" s="82"/>
      <x:c r="G16" s="2"/>
    </x:row>
    <x:row r="17" ht="20" customHeight="1">
      <x:c r="A17" s="2" t="str">
        <x:v>Arrastre de cohorte anterior</x:v>
      </x:c>
      <x:c r="B17" s="35"/>
      <x:c r="C17" s="60" t="n">
        <x:f>0</x:f>
        <x:v>0</x:v>
      </x:c>
      <x:c r="D17" s="60" t="n">
        <x:f>C14*(1-C15)</x:f>
        <x:v>80.19000000000001</x:v>
      </x:c>
      <x:c r="E17" s="60" t="n">
        <x:f>D14*(1-D15)</x:f>
        <x:v>130.30874999999997</x:v>
      </x:c>
      <x:c r="F17" s="82" t="str">
        <x:v>Solo arrastre del año previo: sin doble conteo</x:v>
      </x:c>
      <x:c r="G17" s="2"/>
    </x:row>
    <x:row r="18" ht="20" customHeight="1">
      <x:c r="A18" s="2" t="str">
        <x:v>Oportunidades atendibles año (clientes)</x:v>
      </x:c>
      <x:c r="B18" s="35"/>
      <x:c r="C18" s="60" t="n">
        <x:f>SUM(C16:C17)</x:f>
        <x:v>240.57000000000005</x:v>
      </x:c>
      <x:c r="D18" s="60" t="n">
        <x:f>SUM(D16:D17)</x:f>
        <x:v>471.1162499999999</x:v>
      </x:c>
      <x:c r="E18" s="60" t="n">
        <x:f>SUM(E16:E17)</x:f>
        <x:v>581.3775</x:v>
      </x:c>
      <x:c r="F18" s="82" t="str">
        <x:v>Denominador común control/tratamiento</x:v>
      </x:c>
      <x:c r="G18" s="2"/>
    </x:row>
    <x:row r="19" ht="20" customHeight="1">
      <x:c r="A19" s="50" t="str">
        <x:v>Tasa servicio completado - control</x:v>
      </x:c>
      <x:c r="B19" s="56"/>
      <x:c r="C19" s="61" t="n">
        <x:f>Supuestos!$B$16</x:f>
        <x:v>0.22</x:v>
      </x:c>
      <x:c r="D19" s="61" t="n">
        <x:f>Supuestos!$B$16</x:f>
        <x:v>0.22</x:v>
      </x:c>
      <x:c r="E19" s="61" t="n">
        <x:f>Supuestos!$B$16</x:f>
        <x:v>0.22</x:v>
      </x:c>
      <x:c r="F19" s="82"/>
      <x:c r="G19" s="2"/>
    </x:row>
    <x:row r="20" ht="20" customHeight="1">
      <x:c r="A20" s="2" t="str">
        <x:v>Tasa servicio completado - producto</x:v>
      </x:c>
      <x:c r="B20" s="35"/>
      <x:c r="C20" s="59" t="n">
        <x:f>Supuestos!$B$17</x:f>
        <x:v>0.28</x:v>
      </x:c>
      <x:c r="D20" s="59" t="n">
        <x:f>Supuestos!$B$17</x:f>
        <x:v>0.28</x:v>
      </x:c>
      <x:c r="E20" s="59" t="n">
        <x:f>Supuestos!$B$17</x:f>
        <x:v>0.28</x:v>
      </x:c>
      <x:c r="F20" s="82"/>
      <x:c r="G20" s="2"/>
    </x:row>
    <x:row r="21" ht="20" customHeight="1">
      <x:c r="A21" s="2" t="str">
        <x:v>Servicios del control estimados</x:v>
      </x:c>
      <x:c r="B21" s="35"/>
      <x:c r="C21" s="60" t="n">
        <x:f>C18*C19</x:f>
        <x:v>52.92540000000001</x:v>
      </x:c>
      <x:c r="D21" s="60" t="n">
        <x:f>D18*D19</x:f>
        <x:v>103.64557499999998</x:v>
      </x:c>
      <x:c r="E21" s="60" t="n">
        <x:f>E18*E19</x:f>
        <x:v>127.90305000000001</x:v>
      </x:c>
      <x:c r="F21" s="82"/>
      <x:c r="G21" s="2"/>
    </x:row>
    <x:row r="22" ht="20" customHeight="1">
      <x:c r="A22" s="2" t="str">
        <x:v>Servicios del tratamiento estimados</x:v>
      </x:c>
      <x:c r="B22" s="35"/>
      <x:c r="C22" s="60" t="n">
        <x:f>C18*C20</x:f>
        <x:v>67.35960000000001</x:v>
      </x:c>
      <x:c r="D22" s="60" t="n">
        <x:f>D18*D20</x:f>
        <x:v>131.91254999999998</x:v>
      </x:c>
      <x:c r="E22" s="60" t="n">
        <x:f>E18*E20</x:f>
        <x:v>162.78570000000002</x:v>
      </x:c>
      <x:c r="F22" s="82"/>
      <x:c r="G22" s="2"/>
    </x:row>
    <x:row r="23" ht="20" customHeight="1">
      <x:c r="A23" s="2" t="str">
        <x:v>Servicios incrementales posibles</x:v>
      </x:c>
      <x:c r="B23" s="35"/>
      <x:c r="C23" s="60" t="n">
        <x:f>MAX(0,C22-C21)</x:f>
        <x:v>14.434200000000004</x:v>
      </x:c>
      <x:c r="D23" s="60" t="n">
        <x:f>MAX(0,D22-D21)</x:f>
        <x:v>28.266975000000002</x:v>
      </x:c>
      <x:c r="E23" s="60" t="n">
        <x:f>MAX(0,E22-E21)</x:f>
        <x:v>34.88265000000001</x:v>
      </x:c>
      <x:c r="F23" s="82"/>
      <x:c r="G23" s="2"/>
    </x:row>
    <x:row r="24" ht="20" customHeight="1">
      <x:c r="A24" s="2" t="str">
        <x:v>Cupos incrementales / sede / mes</x:v>
      </x:c>
      <x:c r="B24" s="35"/>
      <x:c r="C24" s="60" t="n">
        <x:f>Supuestos!$B$20</x:f>
        <x:v>6</x:v>
      </x:c>
      <x:c r="D24" s="60" t="n">
        <x:f>Supuestos!$B$20</x:f>
        <x:v>6</x:v>
      </x:c>
      <x:c r="E24" s="60" t="n">
        <x:f>Supuestos!$B$20</x:f>
        <x:v>6</x:v>
      </x:c>
      <x:c r="F24" s="82"/>
      <x:c r="G24" s="2"/>
    </x:row>
    <x:row r="25" ht="20" customHeight="1">
      <x:c r="A25" s="2" t="str">
        <x:v>Capacidad real de servicio adicional</x:v>
      </x:c>
      <x:c r="B25" s="35"/>
      <x:c r="C25" s="60" t="n">
        <x:f>Supuestos!$B$5*C24*12*C6</x:f>
        <x:v>230.4</x:v>
      </x:c>
      <x:c r="D25" s="60" t="n">
        <x:f>Supuestos!$B$5*D24*12*D6</x:f>
        <x:v>374.40000000000003</x:v>
      </x:c>
      <x:c r="E25" s="60" t="n">
        <x:f>Supuestos!$B$5*E24*12*E6</x:f>
        <x:v>432</x:v>
      </x:c>
      <x:c r="F25" s="82"/>
      <x:c r="G25" s="2"/>
    </x:row>
    <x:row r="26" ht="20" customHeight="1">
      <x:c r="A26" s="44" t="str">
        <x:v>SERVICIOS INCREMENTALES CAPTURADOS</x:v>
      </x:c>
      <x:c r="B26" s="45"/>
      <x:c r="C26" s="68" t="n">
        <x:f>MIN(C23,C25)</x:f>
        <x:v>14.434200000000004</x:v>
      </x:c>
      <x:c r="D26" s="68" t="n">
        <x:f>MIN(D23,D25)</x:f>
        <x:v>28.266975000000002</x:v>
      </x:c>
      <x:c r="E26" s="68" t="n">
        <x:f>MIN(E23,E25)</x:f>
        <x:v>34.88265000000001</x:v>
      </x:c>
      <x:c r="F26" s="82" t="str">
        <x:v>Limitado por cupos; no desplaza OT normales</x:v>
      </x:c>
      <x:c r="G26" s="2"/>
    </x:row>
    <x:row r="27" ht="20" customHeight="1">
      <x:c r="A27" s="2" t="str">
        <x:v>Servicios incrementales perdidos por cupos</x:v>
      </x:c>
      <x:c r="B27" s="35"/>
      <x:c r="C27" s="60" t="n">
        <x:f>MAX(0,C23-C26)</x:f>
        <x:v>0</x:v>
      </x:c>
      <x:c r="D27" s="60" t="n">
        <x:f>MAX(0,D23-D26)</x:f>
        <x:v>0</x:v>
      </x:c>
      <x:c r="E27" s="60" t="n">
        <x:f>MAX(0,E23-E26)</x:f>
        <x:v>0</x:v>
      </x:c>
      <x:c r="F27" s="82"/>
      <x:c r="G27" s="2"/>
    </x:row>
    <x:row r="28" ht="20" customHeight="1">
      <x:c r="A28" s="2"/>
      <x:c r="B28" s="35"/>
      <x:c r="C28" s="60"/>
      <x:c r="D28" s="60"/>
      <x:c r="E28" s="60"/>
      <x:c r="F28" s="82"/>
      <x:c r="G28" s="2"/>
    </x:row>
    <x:row r="29" ht="20" customHeight="1">
      <x:c r="A29" s="50" t="str">
        <x:v>Ticket neto por OT (COP)</x:v>
      </x:c>
      <x:c r="B29" s="56"/>
      <x:c r="C29" s="58" t="n">
        <x:f>Supuestos!$B$18</x:f>
        <x:v>330000</x:v>
      </x:c>
      <x:c r="D29" s="58" t="n">
        <x:f>Supuestos!$B$18</x:f>
        <x:v>330000</x:v>
      </x:c>
      <x:c r="E29" s="58" t="n">
        <x:f>Supuestos!$B$18</x:f>
        <x:v>330000</x:v>
      </x:c>
      <x:c r="F29" s="82" t="str">
        <x:v>Factura neta IVA, no importe bruto</x:v>
      </x:c>
      <x:c r="G29" s="2"/>
    </x:row>
    <x:row r="30" ht="20" customHeight="1">
      <x:c r="A30" s="2" t="str">
        <x:v>Ingreso incremental taller (COP)</x:v>
      </x:c>
      <x:c r="B30" s="35"/>
      <x:c r="C30" s="60" t="n">
        <x:f>C26*C29</x:f>
        <x:v>4763286.000000001</x:v>
      </x:c>
      <x:c r="D30" s="60" t="n">
        <x:f>D26*D29</x:f>
        <x:v>9328101.75</x:v>
      </x:c>
      <x:c r="E30" s="60" t="n">
        <x:f>E26*E29</x:f>
        <x:v>11511274.500000004</x:v>
      </x:c>
      <x:c r="F30" s="82"/>
      <x:c r="G30" s="2"/>
    </x:row>
    <x:row r="31" ht="20" customHeight="1">
      <x:c r="A31" s="2" t="str">
        <x:v>Margen de contribución variable</x:v>
      </x:c>
      <x:c r="B31" s="35"/>
      <x:c r="C31" s="59" t="n">
        <x:f>Supuestos!$B$19</x:f>
        <x:v>0.25</x:v>
      </x:c>
      <x:c r="D31" s="59" t="n">
        <x:f>Supuestos!$B$19</x:f>
        <x:v>0.25</x:v>
      </x:c>
      <x:c r="E31" s="59" t="n">
        <x:f>Supuestos!$B$19</x:f>
        <x:v>0.25</x:v>
      </x:c>
      <x:c r="F31" s="82"/>
      <x:c r="G31" s="2"/>
    </x:row>
    <x:row r="32" ht="20" customHeight="1">
      <x:c r="A32" s="44" t="str">
        <x:v>CONTRIBUCIÓN INCREMENTAL TALLER (COP)</x:v>
      </x:c>
      <x:c r="B32" s="45"/>
      <x:c r="C32" s="68" t="n">
        <x:f>C30*C31</x:f>
        <x:v>1190821.5000000002</x:v>
      </x:c>
      <x:c r="D32" s="68" t="n">
        <x:f>D30*D31</x:f>
        <x:v>2332025.4375</x:v>
      </x:c>
      <x:c r="E32" s="68" t="n">
        <x:f>E30*E31</x:f>
        <x:v>2877818.625000001</x:v>
      </x:c>
      <x:c r="F32" s="82"/>
      <x:c r="G32" s="2"/>
    </x:row>
    <x:row r="33" ht="20" customHeight="1">
      <x:c r="A33" s="2"/>
      <x:c r="B33" s="35"/>
      <x:c r="C33" s="60"/>
      <x:c r="D33" s="60"/>
      <x:c r="E33" s="60"/>
      <x:c r="F33" s="82"/>
      <x:c r="G33" s="2"/>
    </x:row>
    <x:row r="34" ht="20" customHeight="1">
      <x:c r="A34" s="50" t="str">
        <x:v>% contactos que abren chat IA</x:v>
      </x:c>
      <x:c r="B34" s="56"/>
      <x:c r="C34" s="61" t="n">
        <x:f>Supuestos!$B$21</x:f>
        <x:v>0.45</x:v>
      </x:c>
      <x:c r="D34" s="61" t="n">
        <x:f>Supuestos!$B$21</x:f>
        <x:v>0.45</x:v>
      </x:c>
      <x:c r="E34" s="61" t="n">
        <x:f>Supuestos!$B$21</x:f>
        <x:v>0.45</x:v>
      </x:c>
      <x:c r="F34" s="82"/>
      <x:c r="G34" s="2"/>
    </x:row>
    <x:row r="35" ht="20" customHeight="1">
      <x:c r="A35" s="2" t="str">
        <x:v>Contactos elegibles en el ejercicio</x:v>
      </x:c>
      <x:c r="B35" s="35"/>
      <x:c r="C35" s="60" t="n">
        <x:f>C18</x:f>
        <x:v>240.57000000000005</x:v>
      </x:c>
      <x:c r="D35" s="60" t="n">
        <x:f>D18</x:f>
        <x:v>471.1162499999999</x:v>
      </x:c>
      <x:c r="E35" s="60" t="n">
        <x:f>E18</x:f>
        <x:v>581.3775</x:v>
      </x:c>
      <x:c r="F35" s="82"/>
      <x:c r="G35" s="2"/>
    </x:row>
    <x:row r="36" ht="20" customHeight="1">
      <x:c r="A36" s="2" t="str">
        <x:v>Conversaciones con IA</x:v>
      </x:c>
      <x:c r="B36" s="35"/>
      <x:c r="C36" s="60" t="n">
        <x:f>C35*C34</x:f>
        <x:v>108.25650000000003</x:v>
      </x:c>
      <x:c r="D36" s="60" t="n">
        <x:f>D35*D34</x:f>
        <x:v>212.00231249999996</x:v>
      </x:c>
      <x:c r="E36" s="60" t="n">
        <x:f>E35*E34</x:f>
        <x:v>261.61987500000004</x:v>
      </x:c>
      <x:c r="F36" s="82"/>
      <x:c r="G36" s="2"/>
    </x:row>
    <x:row r="37" ht="20" customHeight="1">
      <x:c r="A37" s="2" t="str">
        <x:v>Costo IA por conversación (COP)</x:v>
      </x:c>
      <x:c r="B37" s="35"/>
      <x:c r="C37" s="60" t="n">
        <x:f>Costos!$B$30*Supuestos!$B$27</x:f>
        <x:v>1092.0000000000002</x:v>
      </x:c>
      <x:c r="D37" s="60" t="n">
        <x:f>Costos!$B$30*Supuestos!$B$27</x:f>
        <x:v>1092.0000000000002</x:v>
      </x:c>
      <x:c r="E37" s="60" t="n">
        <x:f>Costos!$B$30*Supuestos!$B$27</x:f>
        <x:v>1092.0000000000002</x:v>
      </x:c>
      <x:c r="F37" s="82" t="str">
        <x:v>Tarifa token real + consumo supuesto</x:v>
      </x:c>
      <x:c r="G37" s="2"/>
    </x:row>
    <x:row r="38" ht="20" customHeight="1">
      <x:c r="A38" s="2" t="str">
        <x:v>Costo variable IA (COP)</x:v>
      </x:c>
      <x:c r="B38" s="35"/>
      <x:c r="C38" s="60" t="n">
        <x:f>C36*C37</x:f>
        <x:v>118216.09800000006</x:v>
      </x:c>
      <x:c r="D38" s="60" t="n">
        <x:f>D36*D37</x:f>
        <x:v>231506.52525</x:v>
      </x:c>
      <x:c r="E38" s="60" t="n">
        <x:f>E36*E37</x:f>
        <x:v>285688.9035000001</x:v>
      </x:c>
      <x:c r="F38" s="82"/>
      <x:c r="G38" s="2"/>
    </x:row>
    <x:row r="39" ht="20" customHeight="1">
      <x:c r="A39" s="2" t="str">
        <x:v>Mensajes entregados / contacto</x:v>
      </x:c>
      <x:c r="B39" s="35"/>
      <x:c r="C39" s="60" t="n">
        <x:f>Supuestos!$B$22</x:f>
        <x:v>2</x:v>
      </x:c>
      <x:c r="D39" s="60" t="n">
        <x:f>Supuestos!$B$22</x:f>
        <x:v>2</x:v>
      </x:c>
      <x:c r="E39" s="60" t="n">
        <x:f>Supuestos!$B$22</x:f>
        <x:v>2</x:v>
      </x:c>
      <x:c r="F39" s="82"/>
      <x:c r="G39" s="2"/>
    </x:row>
    <x:row r="40" ht="20" customHeight="1">
      <x:c r="A40" s="2" t="str">
        <x:v>Tarifa por mensaje (COP)</x:v>
      </x:c>
      <x:c r="B40" s="35"/>
      <x:c r="C40" s="60" t="n">
        <x:f>Supuestos!$B$24</x:f>
        <x:v>45</x:v>
      </x:c>
      <x:c r="D40" s="60" t="n">
        <x:f>Supuestos!$B$24</x:f>
        <x:v>45</x:v>
      </x:c>
      <x:c r="E40" s="60" t="n">
        <x:f>Supuestos!$B$24</x:f>
        <x:v>45</x:v>
      </x:c>
      <x:c r="F40" s="82"/>
      <x:c r="G40" s="2"/>
    </x:row>
    <x:row r="41" ht="20" customHeight="1">
      <x:c r="A41" s="2" t="str">
        <x:v>Fee canal/BSP por contacto (COP)</x:v>
      </x:c>
      <x:c r="B41" s="35"/>
      <x:c r="C41" s="60" t="n">
        <x:f>Supuestos!$B$23</x:f>
        <x:v>175</x:v>
      </x:c>
      <x:c r="D41" s="60" t="n">
        <x:f>Supuestos!$B$23</x:f>
        <x:v>175</x:v>
      </x:c>
      <x:c r="E41" s="60" t="n">
        <x:f>Supuestos!$B$23</x:f>
        <x:v>175</x:v>
      </x:c>
      <x:c r="F41" s="82"/>
      <x:c r="G41" s="2"/>
    </x:row>
    <x:row r="42" ht="20" customHeight="1">
      <x:c r="A42" s="2" t="str">
        <x:v>Costo comunicaciones (COP)</x:v>
      </x:c>
      <x:c r="B42" s="35"/>
      <x:c r="C42" s="60" t="n">
        <x:f>C35*(C39*C40+C41)</x:f>
        <x:v>63751.05000000001</x:v>
      </x:c>
      <x:c r="D42" s="60" t="n">
        <x:f>D35*(D39*D40+D41)</x:f>
        <x:v>124845.80624999998</x:v>
      </x:c>
      <x:c r="E42" s="60" t="n">
        <x:f>E35*(E39*E40+E41)</x:f>
        <x:v>154065.0375</x:v>
      </x:c>
      <x:c r="F42" s="82"/>
      <x:c r="G42" s="2"/>
    </x:row>
    <x:row r="43" ht="20" customHeight="1">
      <x:c r="A43" s="2" t="str">
        <x:v>Derivaciones sobre conversaciones</x:v>
      </x:c>
      <x:c r="B43" s="35"/>
      <x:c r="C43" s="59" t="n">
        <x:f>Supuestos!$B$25</x:f>
        <x:v>0.2</x:v>
      </x:c>
      <x:c r="D43" s="59" t="n">
        <x:f>Supuestos!$B$25</x:f>
        <x:v>0.2</x:v>
      </x:c>
      <x:c r="E43" s="59" t="n">
        <x:f>Supuestos!$B$25</x:f>
        <x:v>0.2</x:v>
      </x:c>
      <x:c r="F43" s="82"/>
      <x:c r="G43" s="2"/>
    </x:row>
    <x:row r="44" ht="20" customHeight="1">
      <x:c r="A44" s="2" t="str">
        <x:v>Costo marginal de derivación (COP)</x:v>
      </x:c>
      <x:c r="B44" s="35"/>
      <x:c r="C44" s="60" t="n">
        <x:f>Supuestos!$B$26</x:f>
        <x:v>18000</x:v>
      </x:c>
      <x:c r="D44" s="60" t="n">
        <x:f>Supuestos!$B$26</x:f>
        <x:v>18000</x:v>
      </x:c>
      <x:c r="E44" s="60" t="n">
        <x:f>Supuestos!$B$26</x:f>
        <x:v>18000</x:v>
      </x:c>
      <x:c r="F44" s="82"/>
      <x:c r="G44" s="2"/>
    </x:row>
    <x:row r="45" ht="20" customHeight="1">
      <x:c r="A45" s="2" t="str">
        <x:v>Costo operativo derivaciones (COP)</x:v>
      </x:c>
      <x:c r="B45" s="35"/>
      <x:c r="C45" s="60" t="n">
        <x:f>C36*C43*C44</x:f>
        <x:v>389723.40000000014</x:v>
      </x:c>
      <x:c r="D45" s="60" t="n">
        <x:f>D36*D43*D44</x:f>
        <x:v>763208.325</x:v>
      </x:c>
      <x:c r="E45" s="60" t="n">
        <x:f>E36*E43*E44</x:f>
        <x:v>941831.5500000002</x:v>
      </x:c>
      <x:c r="F45" s="82"/>
      <x:c r="G45" s="2"/>
    </x:row>
    <x:row r="46" ht="20" customHeight="1">
      <x:c r="A46" s="2" t="str">
        <x:v>Minutos liberados / chat</x:v>
      </x:c>
      <x:c r="B46" s="35"/>
      <x:c r="C46" s="60" t="n">
        <x:f>Supuestos!$B$32</x:f>
        <x:v>3</x:v>
      </x:c>
      <x:c r="D46" s="60" t="n">
        <x:f>Supuestos!$B$32</x:f>
        <x:v>3</x:v>
      </x:c>
      <x:c r="E46" s="60" t="n">
        <x:f>Supuestos!$B$32</x:f>
        <x:v>3</x:v>
      </x:c>
      <x:c r="F46" s="82"/>
      <x:c r="G46" s="2"/>
    </x:row>
    <x:row r="47" ht="20" customHeight="1">
      <x:c r="A47" s="2" t="str">
        <x:v>Costo personal por hora (COP)</x:v>
      </x:c>
      <x:c r="B47" s="35"/>
      <x:c r="C47" s="60" t="n">
        <x:f>Supuestos!$B$33</x:f>
        <x:v>35000</x:v>
      </x:c>
      <x:c r="D47" s="60" t="n">
        <x:f>Supuestos!$B$33</x:f>
        <x:v>35000</x:v>
      </x:c>
      <x:c r="E47" s="60" t="n">
        <x:f>Supuestos!$B$33</x:f>
        <x:v>35000</x:v>
      </x:c>
      <x:c r="F47" s="82"/>
      <x:c r="G47" s="2"/>
    </x:row>
    <x:row r="48" ht="20" customHeight="1">
      <x:c r="A48" s="2" t="str">
        <x:v>Fracción de eficiencia monetizable</x:v>
      </x:c>
      <x:c r="B48" s="35"/>
      <x:c r="C48" s="59" t="n">
        <x:f>Supuestos!$B$31</x:f>
        <x:v>0</x:v>
      </x:c>
      <x:c r="D48" s="59" t="n">
        <x:f>Supuestos!$B$31</x:f>
        <x:v>0</x:v>
      </x:c>
      <x:c r="E48" s="59" t="n">
        <x:f>Supuestos!$B$31</x:f>
        <x:v>0</x:v>
      </x:c>
      <x:c r="F48" s="82"/>
      <x:c r="G48" s="2"/>
    </x:row>
    <x:row r="49" ht="20" customHeight="1">
      <x:c r="A49" s="2" t="str">
        <x:v>Valor económico eficiencia (COP)</x:v>
      </x:c>
      <x:c r="B49" s="35"/>
      <x:c r="C49" s="60" t="n">
        <x:f>C36*C46/60*C47*C48</x:f>
        <x:v>0</x:v>
      </x:c>
      <x:c r="D49" s="60" t="n">
        <x:f>D36*D46/60*D47*D48</x:f>
        <x:v>0</x:v>
      </x:c>
      <x:c r="E49" s="60" t="n">
        <x:f>E36*E46/60*E47*E48</x:f>
        <x:v>0</x:v>
      </x:c>
      <x:c r="F49" s="82" t="str">
        <x:v>Por defecto 0: no monetizar ahorro sin evidencia</x:v>
      </x:c>
      <x:c r="G49" s="2"/>
    </x:row>
    <x:row r="50" ht="20" customHeight="1">
      <x:c r="A50" s="2"/>
      <x:c r="B50" s="35"/>
      <x:c r="C50" s="60"/>
      <x:c r="D50" s="60"/>
      <x:c r="E50" s="60"/>
      <x:c r="F50" s="82"/>
      <x:c r="G50" s="2"/>
    </x:row>
    <x:row r="51" ht="20" customHeight="1">
      <x:c r="A51" s="50" t="str">
        <x:v>Gasto tecnología fijo anual (COP)</x:v>
      </x:c>
      <x:c r="B51" s="56"/>
      <x:c r="C51" s="58" t="n">
        <x:f>Costos!$B$16*Supuestos!$B$29</x:f>
        <x:v>51200000</x:v>
      </x:c>
      <x:c r="D51" s="58" t="n">
        <x:f>Costos!$B$16*Supuestos!$B$29</x:f>
        <x:v>51200000</x:v>
      </x:c>
      <x:c r="E51" s="58" t="n">
        <x:f>Costos!$B$16*Supuestos!$B$29</x:f>
        <x:v>51200000</x:v>
      </x:c>
      <x:c r="F51" s="82"/>
      <x:c r="G51" s="2"/>
    </x:row>
    <x:row r="52" ht="20" customHeight="1">
      <x:c r="A52" s="2" t="str">
        <x:v>Gobernanza + soporte anual (COP)</x:v>
      </x:c>
      <x:c r="B52" s="35"/>
      <x:c r="C52" s="60" t="n">
        <x:f>Costos!$B$21*Supuestos!$B$30</x:f>
        <x:v>16200000.000000002</x:v>
      </x:c>
      <x:c r="D52" s="60" t="n">
        <x:f>Costos!$B$21*Supuestos!$B$30</x:f>
        <x:v>16200000.000000002</x:v>
      </x:c>
      <x:c r="E52" s="60" t="n">
        <x:f>Costos!$B$21*Supuestos!$B$30</x:f>
        <x:v>16200000.000000002</x:v>
      </x:c>
      <x:c r="F52" s="82"/>
      <x:c r="G52" s="2"/>
    </x:row>
    <x:row r="53" ht="20" customHeight="1">
      <x:c r="A53" s="44" t="str">
        <x:v>BENEFICIO BRUTO INCREMENTAL (COP)</x:v>
      </x:c>
      <x:c r="B53" s="45"/>
      <x:c r="C53" s="68" t="n">
        <x:f>SUM(C32,C49)</x:f>
        <x:v>1190821.5000000002</x:v>
      </x:c>
      <x:c r="D53" s="68" t="n">
        <x:f>SUM(D32,D49)</x:f>
        <x:v>2332025.4375</x:v>
      </x:c>
      <x:c r="E53" s="68" t="n">
        <x:f>SUM(E32,E49)</x:f>
        <x:v>2877818.625000001</x:v>
      </x:c>
      <x:c r="F53" s="82"/>
      <x:c r="G53" s="2"/>
    </x:row>
    <x:row r="54" ht="20" customHeight="1">
      <x:c r="A54" s="44" t="str">
        <x:v>COSTOS VARIABLES INCREMENTALES (COP)</x:v>
      </x:c>
      <x:c r="B54" s="45"/>
      <x:c r="C54" s="68" t="n">
        <x:f>SUM(C38,C42,C45)</x:f>
        <x:v>571690.5480000002</x:v>
      </x:c>
      <x:c r="D54" s="68" t="n">
        <x:f>SUM(D38,D42,D45)</x:f>
        <x:v>1119560.6565</x:v>
      </x:c>
      <x:c r="E54" s="68" t="n">
        <x:f>SUM(E38,E42,E45)</x:f>
        <x:v>1381585.4910000004</x:v>
      </x:c>
      <x:c r="F54" s="82"/>
      <x:c r="G54" s="2"/>
    </x:row>
    <x:row r="55" ht="20" customHeight="1">
      <x:c r="A55" s="44" t="str">
        <x:v>COSTOS FIJOS ANUALES (COP)</x:v>
      </x:c>
      <x:c r="B55" s="45"/>
      <x:c r="C55" s="68" t="n">
        <x:f>SUM(C51:C52)</x:f>
        <x:v>67400000</x:v>
      </x:c>
      <x:c r="D55" s="68" t="n">
        <x:f>SUM(D51:D52)</x:f>
        <x:v>67400000</x:v>
      </x:c>
      <x:c r="E55" s="68" t="n">
        <x:f>SUM(E51:E52)</x:f>
        <x:v>67400000</x:v>
      </x:c>
      <x:c r="F55" s="82"/>
      <x:c r="G55" s="2"/>
    </x:row>
    <x:row r="56" ht="20" customHeight="1">
      <x:c r="A56" s="76" t="str">
        <x:v>FLUJO OPERATIVO NETO (COP)</x:v>
      </x:c>
      <x:c r="B56" s="77"/>
      <x:c r="C56" s="78" t="n">
        <x:f>C53-C54-C55</x:f>
        <x:v>-66780869.048</x:v>
      </x:c>
      <x:c r="D56" s="78" t="n">
        <x:f>D53-D54-D55</x:f>
        <x:v>-66187535.219</x:v>
      </x:c>
      <x:c r="E56" s="78" t="n">
        <x:f>E53-E54-E55</x:f>
        <x:v>-65903766.866</x:v>
      </x:c>
      <x:c r="F56" s="82"/>
      <x:c r="G56" s="2"/>
    </x:row>
    <x:row r="57" ht="20" customHeight="1">
      <x:c r="A57" s="2"/>
      <x:c r="B57" s="35"/>
      <x:c r="C57" s="60"/>
      <x:c r="D57" s="60"/>
      <x:c r="E57" s="60"/>
      <x:c r="F57" s="82"/>
      <x:c r="G57" s="2"/>
    </x:row>
    <x:row r="58" ht="20" customHeight="1">
      <x:c r="A58" s="2" t="str">
        <x:v>Inversión inicial desembolsada (COP)</x:v>
      </x:c>
      <x:c r="B58" s="35" t="n">
        <x:f>Costos!$B$10*Supuestos!$B$28</x:f>
        <x:v>91000000</x:v>
      </x:c>
      <x:c r="C58" s="60" t="n">
        <x:f>0</x:f>
        <x:v>0</x:v>
      </x:c>
      <x:c r="D58" s="60" t="n">
        <x:f>0</x:f>
        <x:v>0</x:v>
      </x:c>
      <x:c r="E58" s="60" t="n">
        <x:f>0</x:f>
        <x:v>0</x:v>
      </x:c>
      <x:c r="F58" s="82"/>
      <x:c r="G58" s="2"/>
    </x:row>
    <x:row r="59" ht="20" customHeight="1">
      <x:c r="A59" s="76" t="str">
        <x:v>FLUJO DE CAJA NETO (COP)</x:v>
      </x:c>
      <x:c r="B59" s="77" t="n">
        <x:f>-B58</x:f>
        <x:v>-91000000</x:v>
      </x:c>
      <x:c r="C59" s="78" t="n">
        <x:f>C56</x:f>
        <x:v>-66780869.048</x:v>
      </x:c>
      <x:c r="D59" s="78" t="n">
        <x:f>D56</x:f>
        <x:v>-66187535.219</x:v>
      </x:c>
      <x:c r="E59" s="78" t="n">
        <x:f>E56</x:f>
        <x:v>-65903766.866</x:v>
      </x:c>
      <x:c r="F59" s="82"/>
      <x:c r="G59" s="2"/>
    </x:row>
    <x:row r="60" ht="20" customHeight="1">
      <x:c r="A60" s="44" t="str">
        <x:v>FLUJO DESCONTADO (COP)</x:v>
      </x:c>
      <x:c r="B60" s="45" t="n">
        <x:f>B59</x:f>
        <x:v>-91000000</x:v>
      </x:c>
      <x:c r="C60" s="68" t="n">
        <x:f>C59/(1+Supuestos!$B$34)^1</x:f>
        <x:v>-58070320.911304355</x:v>
      </x:c>
      <x:c r="D60" s="68" t="n">
        <x:f>D59/(1+Supuestos!$B$34)^2</x:f>
        <x:v>-50047285.60982987</x:v>
      </x:c>
      <x:c r="E60" s="68" t="n">
        <x:f>E59/(1+Supuestos!$B$34)^3</x:f>
        <x:v>-43332796.492808424</x:v>
      </x:c>
      <x:c r="F60" s="82" t="str">
        <x:v>Año 0 sin descuento; años 1–3 descontados</x:v>
      </x:c>
      <x:c r="G60" s="2"/>
    </x:row>
    <x:row r="61" ht="20" customHeight="1">
      <x:c r="A61" s="44" t="str">
        <x:v>Acumulado caja sin descuento (COP)</x:v>
      </x:c>
      <x:c r="B61" s="45" t="n">
        <x:f>B59</x:f>
        <x:v>-91000000</x:v>
      </x:c>
      <x:c r="C61" s="68" t="n">
        <x:f>$B$61+C59</x:f>
        <x:v>-157780869.048</x:v>
      </x:c>
      <x:c r="D61" s="68" t="n">
        <x:f>C61+D59</x:f>
        <x:v>-223968404.26700002</x:v>
      </x:c>
      <x:c r="E61" s="68" t="n">
        <x:f>D61+E59</x:f>
        <x:v>-289872171.133</x:v>
      </x:c>
      <x:c r="F61" s="82"/>
      <x:c r="G61" s="2"/>
    </x:row>
    <x:row r="62" ht="20" customHeight="1">
      <x:c r="A62" s="44" t="str">
        <x:v>Acumulado caja descontado (COP)</x:v>
      </x:c>
      <x:c r="B62" s="45" t="n">
        <x:f>B60</x:f>
        <x:v>-91000000</x:v>
      </x:c>
      <x:c r="C62" s="68" t="n">
        <x:f>$B$62+C60</x:f>
        <x:v>-149070320.91130435</x:v>
      </x:c>
      <x:c r="D62" s="68" t="n">
        <x:f>C62+D60</x:f>
        <x:v>-199117606.52113423</x:v>
      </x:c>
      <x:c r="E62" s="68" t="n">
        <x:f>D62+E60</x:f>
        <x:v>-242450403.01394266</x:v>
      </x:c>
      <x:c r="F62" s="82"/>
      <x:c r="G62" s="2"/>
    </x:row>
    <x:row r="63" ht="20" customHeight="1">
      <x:c r="A63" s="2"/>
      <x:c r="B63" s="35"/>
      <x:c r="C63" s="60"/>
      <x:c r="D63" s="60"/>
      <x:c r="E63" s="60"/>
      <x:c r="F63" s="82"/>
      <x:c r="G63" s="2"/>
    </x:row>
    <x:row r="64" ht="20" customHeight="1">
      <x:c r="A64" s="2" t="str">
        <x:v>RATIO capacidad usada</x:v>
      </x:c>
      <x:c r="B64" s="35"/>
      <x:c r="C64" s="59" t="n">
        <x:f>IFERROR(C26/C25,0)</x:f>
        <x:v>0.06264843750000001</x:v>
      </x:c>
      <x:c r="D64" s="59" t="n">
        <x:f>IFERROR(D26/D25,0)</x:f>
        <x:v>0.07549939903846153</x:v>
      </x:c>
      <x:c r="E64" s="59" t="n">
        <x:f>IFERROR(E26/E25,0)</x:f>
        <x:v>0.08074687500000002</x:v>
      </x:c>
      <x:c r="F64" s="82"/>
      <x:c r="G64" s="2"/>
    </x:row>
    <x:row r="65" ht="20" customHeight="1">
      <x:c r="A65" s="2" t="str">
        <x:v>Contribución neta / cliente atendible (COP)</x:v>
      </x:c>
      <x:c r="B65" s="35"/>
      <x:c r="C65" s="60" t="n">
        <x:f>IFERROR(C56/C18,0)</x:f>
        <x:v>-277594.3344889221</x:v>
      </x:c>
      <x:c r="D65" s="60" t="n">
        <x:f>IFERROR(D56/D18,0)</x:f>
        <x:v>-140490.8771858326</x:v>
      </x:c>
      <x:c r="E65" s="60" t="n">
        <x:f>IFERROR(E56/E18,0)</x:f>
        <x:v>-113357.95909886432</x:v>
      </x:c>
      <x:c r="F65" s="82"/>
      <x:c r="G65" s="2"/>
    </x:row>
    <x:row r="66" ht="20" customHeight="1">
      <x:c r="A66" s="2" t="str">
        <x:v>Efecto neto tasa conversión (pp)</x:v>
      </x:c>
      <x:c r="B66" s="35"/>
      <x:c r="C66" s="59" t="n">
        <x:f>C20-C19</x:f>
        <x:v>0.060000000000000026</x:v>
      </x:c>
      <x:c r="D66" s="59" t="n">
        <x:f>D20-D19</x:f>
        <x:v>0.060000000000000026</x:v>
      </x:c>
      <x:c r="E66" s="59" t="n">
        <x:f>E20-E19</x:f>
        <x:v>0.060000000000000026</x:v>
      </x:c>
      <x:c r="F66" s="8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0" hidden="0" customWidth="1"/>
    <x:col min="7" max="7" width="30" hidden="0" customWidth="1"/>
  </x:cols>
  <x:sheetData>
    <x:row r="1" ht="38" customHeight="1">
      <x:c r="A1" s="6" t="str">
        <x:v>VEHICLE CARE  |  ESCENARIO BASE</x:v>
      </x:c>
      <x:c r="B1" s="6"/>
      <x:c r="C1" s="6"/>
      <x:c r="D1" s="6"/>
      <x:c r="E1" s="6"/>
      <x:c r="F1" s="6"/>
      <x:c r="G1" s="2"/>
    </x:row>
    <x:row r="2" ht="28" customHeight="1">
      <x:c r="A2" s="11" t="str">
        <x:v>Cohortes de entregas ≤180 días · Flujo incremental vs operación habitual · COP nominales sin IVA</x:v>
      </x:c>
      <x:c r="B2" s="11"/>
      <x:c r="C2" s="11"/>
      <x:c r="D2" s="11"/>
      <x:c r="E2" s="11"/>
      <x:c r="F2" s="11"/>
      <x:c r="G2" s="2"/>
    </x:row>
    <x:row r="3" ht="20" customHeight="1">
      <x:c r="A3" s="2"/>
      <x:c r="B3" s="2"/>
      <x:c r="C3" s="2"/>
      <x:c r="D3" s="2"/>
      <x:c r="E3" s="2"/>
      <x:c r="F3" s="2"/>
      <x:c r="G3" s="2"/>
    </x:row>
    <x:row r="4" ht="27" customHeight="1">
      <x:c r="A4" s="16" t="str">
        <x:v>Funnel / unidad</x:v>
      </x:c>
      <x:c r="B4" s="16" t="str">
        <x:v>Año 0 · 2026</x:v>
      </x:c>
      <x:c r="C4" s="16" t="str">
        <x:v>Año 1 · 2027</x:v>
      </x:c>
      <x:c r="D4" s="16" t="str">
        <x:v>Año 2 · 2028</x:v>
      </x:c>
      <x:c r="E4" s="16" t="str">
        <x:v>Año 3 · 2029</x:v>
      </x:c>
      <x:c r="F4" s="2"/>
      <x:c r="G4" s="2"/>
    </x:row>
    <x:row r="5" ht="20" customHeight="1">
      <x:c r="A5" s="50" t="str">
        <x:v>Ventas usados red (veh./año)</x:v>
      </x:c>
      <x:c r="B5" s="56"/>
      <x:c r="C5" s="58" t="n">
        <x:f>Supuestos!$C$5*Supuestos!$C$6*12*(1+Supuestos!$C$7)^(1-1)</x:f>
        <x:v>7200</x:v>
      </x:c>
      <x:c r="D5" s="58" t="n">
        <x:f>Supuestos!$C$5*Supuestos!$C$6*12*(1+Supuestos!$C$7)^(2-1)</x:f>
        <x:v>7776.000000000001</x:v>
      </x:c>
      <x:c r="E5" s="58" t="n">
        <x:f>Supuestos!$C$5*Supuestos!$C$6*12*(1+Supuestos!$C$7)^(3-1)</x:f>
        <x:v>8398.08</x:v>
      </x:c>
      <x:c r="F5" s="82"/>
      <x:c r="G5" s="2"/>
    </x:row>
    <x:row r="6" ht="20" customHeight="1">
      <x:c r="A6" s="2" t="str">
        <x:v>Cobertura operativa del producto</x:v>
      </x:c>
      <x:c r="B6" s="35"/>
      <x:c r="C6" s="59" t="n">
        <x:f>Supuestos!$C$8</x:f>
        <x:v>0.5</x:v>
      </x:c>
      <x:c r="D6" s="59" t="n">
        <x:f>Supuestos!$C$9</x:f>
        <x:v>0.8</x:v>
      </x:c>
      <x:c r="E6" s="59" t="n">
        <x:f>Supuestos!$C$10</x:f>
        <x:v>1</x:v>
      </x:c>
      <x:c r="F6" s="82"/>
      <x:c r="G6" s="2"/>
    </x:row>
    <x:row r="7" ht="20" customHeight="1">
      <x:c r="A7" s="2" t="str">
        <x:v>Entregas incorporadas (cohorte)</x:v>
      </x:c>
      <x:c r="B7" s="35"/>
      <x:c r="C7" s="60" t="n">
        <x:f>C5*C6</x:f>
        <x:v>3600</x:v>
      </x:c>
      <x:c r="D7" s="60" t="n">
        <x:f>D5*D6</x:f>
        <x:v>6220.800000000001</x:v>
      </x:c>
      <x:c r="E7" s="60" t="n">
        <x:f>E5*E6</x:f>
        <x:v>8398.08</x:v>
      </x:c>
      <x:c r="F7" s="82"/>
      <x:c r="G7" s="2"/>
    </x:row>
    <x:row r="8" ht="20" customHeight="1">
      <x:c r="A8" s="2" t="str">
        <x:v>% servicio exigible en 180 días</x:v>
      </x:c>
      <x:c r="B8" s="35"/>
      <x:c r="C8" s="59" t="n">
        <x:f>Supuestos!$C$11</x:f>
        <x:v>0.65</x:v>
      </x:c>
      <x:c r="D8" s="59" t="n">
        <x:f>Supuestos!$C$11</x:f>
        <x:v>0.65</x:v>
      </x:c>
      <x:c r="E8" s="59" t="n">
        <x:f>Supuestos!$C$11</x:f>
        <x:v>0.65</x:v>
      </x:c>
      <x:c r="F8" s="82"/>
      <x:c r="G8" s="2"/>
    </x:row>
    <x:row r="9" ht="20" customHeight="1">
      <x:c r="A9" s="2" t="str">
        <x:v>Entregas con necesidad de servicio</x:v>
      </x:c>
      <x:c r="B9" s="35"/>
      <x:c r="C9" s="60" t="n">
        <x:f>C7*C8</x:f>
        <x:v>2340</x:v>
      </x:c>
      <x:c r="D9" s="60" t="n">
        <x:f>D7*D8</x:f>
        <x:v>4043.520000000001</x:v>
      </x:c>
      <x:c r="E9" s="60" t="n">
        <x:f>E7*E8</x:f>
        <x:v>5458.752</x:v>
      </x:c>
      <x:c r="F9" s="82"/>
      <x:c r="G9" s="2"/>
    </x:row>
    <x:row r="10" ht="20" customHeight="1">
      <x:c r="A10" s="2" t="str">
        <x:v>% plan/historial suficiente</x:v>
      </x:c>
      <x:c r="B10" s="35"/>
      <x:c r="C10" s="59" t="n">
        <x:f>Supuestos!$C$12</x:f>
        <x:v>0.8</x:v>
      </x:c>
      <x:c r="D10" s="59" t="n">
        <x:f>Supuestos!$C$12</x:f>
        <x:v>0.8</x:v>
      </x:c>
      <x:c r="E10" s="59" t="n">
        <x:f>Supuestos!$C$12</x:f>
        <x:v>0.8</x:v>
      </x:c>
      <x:c r="F10" s="82"/>
      <x:c r="G10" s="2"/>
    </x:row>
    <x:row r="11" ht="20" customHeight="1">
      <x:c r="A11" s="2" t="str">
        <x:v>Entregas técnicamente accionables</x:v>
      </x:c>
      <x:c r="B11" s="35"/>
      <x:c r="C11" s="60" t="n">
        <x:f>C9*C10</x:f>
        <x:v>1872</x:v>
      </x:c>
      <x:c r="D11" s="60" t="n">
        <x:f>D9*D10</x:f>
        <x:v>3234.8160000000007</x:v>
      </x:c>
      <x:c r="E11" s="60" t="n">
        <x:f>E9*E10</x:f>
        <x:v>4367.0016000000005</x:v>
      </x:c>
      <x:c r="F11" s="82"/>
      <x:c r="G11" s="2"/>
    </x:row>
    <x:row r="12" ht="20" customHeight="1">
      <x:c r="A12" s="2" t="str">
        <x:v>% consentimiento válido</x:v>
      </x:c>
      <x:c r="B12" s="35"/>
      <x:c r="C12" s="59" t="n">
        <x:f>Supuestos!$C$13</x:f>
        <x:v>0.65</x:v>
      </x:c>
      <x:c r="D12" s="59" t="n">
        <x:f>Supuestos!$C$13</x:f>
        <x:v>0.65</x:v>
      </x:c>
      <x:c r="E12" s="59" t="n">
        <x:f>Supuestos!$C$13</x:f>
        <x:v>0.65</x:v>
      </x:c>
      <x:c r="F12" s="82"/>
      <x:c r="G12" s="2"/>
    </x:row>
    <x:row r="13" ht="20" customHeight="1">
      <x:c r="A13" s="2" t="str">
        <x:v>% contactabilidad</x:v>
      </x:c>
      <x:c r="B13" s="35"/>
      <x:c r="C13" s="59" t="n">
        <x:f>Supuestos!$C$14</x:f>
        <x:v>0.9</x:v>
      </x:c>
      <x:c r="D13" s="59" t="n">
        <x:f>Supuestos!$C$14</x:f>
        <x:v>0.9</x:v>
      </x:c>
      <x:c r="E13" s="59" t="n">
        <x:f>Supuestos!$C$14</x:f>
        <x:v>0.9</x:v>
      </x:c>
      <x:c r="F13" s="82"/>
      <x:c r="G13" s="2"/>
    </x:row>
    <x:row r="14" ht="20" customHeight="1">
      <x:c r="A14" s="2" t="str">
        <x:v>Clientes contactables de esa cohorte</x:v>
      </x:c>
      <x:c r="B14" s="35"/>
      <x:c r="C14" s="60" t="n">
        <x:f>C11*C12*C13</x:f>
        <x:v>1095.12</x:v>
      </x:c>
      <x:c r="D14" s="60" t="n">
        <x:f>D11*D12*D13</x:f>
        <x:v>1892.3673600000004</x:v>
      </x:c>
      <x:c r="E14" s="60" t="n">
        <x:f>E11*E12*E13</x:f>
        <x:v>2554.6959360000005</x:v>
      </x:c>
      <x:c r="F14" s="82" t="str">
        <x:v>Elegible de la cohorte; contacto ocurre según vencimiento</x:v>
      </x:c>
      <x:c r="G14" s="2"/>
    </x:row>
    <x:row r="15" ht="20" customHeight="1">
      <x:c r="A15" s="2" t="str">
        <x:v>% oportunidad misma anualidad</x:v>
      </x:c>
      <x:c r="B15" s="35"/>
      <x:c r="C15" s="59" t="n">
        <x:f>Supuestos!$C$15</x:f>
        <x:v>0.75</x:v>
      </x:c>
      <x:c r="D15" s="59" t="n">
        <x:f>Supuestos!$C$15</x:f>
        <x:v>0.75</x:v>
      </x:c>
      <x:c r="E15" s="59" t="n">
        <x:f>Supuestos!$C$15</x:f>
        <x:v>0.75</x:v>
      </x:c>
      <x:c r="F15" s="82"/>
      <x:c r="G15" s="2"/>
    </x:row>
    <x:row r="16" ht="20" customHeight="1">
      <x:c r="A16" s="2" t="str">
        <x:v>Oportunidades de la cohorte actual</x:v>
      </x:c>
      <x:c r="B16" s="35"/>
      <x:c r="C16" s="60" t="n">
        <x:f>C14*C15</x:f>
        <x:v>821.3399999999999</x:v>
      </x:c>
      <x:c r="D16" s="60" t="n">
        <x:f>D14*D15</x:f>
        <x:v>1419.2755200000004</x:v>
      </x:c>
      <x:c r="E16" s="60" t="n">
        <x:f>E14*E15</x:f>
        <x:v>1916.0219520000005</x:v>
      </x:c>
      <x:c r="F16" s="82"/>
      <x:c r="G16" s="2"/>
    </x:row>
    <x:row r="17" ht="20" customHeight="1">
      <x:c r="A17" s="2" t="str">
        <x:v>Arrastre de cohorte anterior</x:v>
      </x:c>
      <x:c r="B17" s="35"/>
      <x:c r="C17" s="60" t="n">
        <x:f>0</x:f>
        <x:v>0</x:v>
      </x:c>
      <x:c r="D17" s="60" t="n">
        <x:f>C14*(1-C15)</x:f>
        <x:v>273.78</x:v>
      </x:c>
      <x:c r="E17" s="60" t="n">
        <x:f>D14*(1-D15)</x:f>
        <x:v>473.0918400000001</x:v>
      </x:c>
      <x:c r="F17" s="82" t="str">
        <x:v>Solo arrastre del año previo: sin doble conteo</x:v>
      </x:c>
      <x:c r="G17" s="2"/>
    </x:row>
    <x:row r="18" ht="20" customHeight="1">
      <x:c r="A18" s="2" t="str">
        <x:v>Oportunidades atendibles año (clientes)</x:v>
      </x:c>
      <x:c r="B18" s="35"/>
      <x:c r="C18" s="60" t="n">
        <x:f>SUM(C16:C17)</x:f>
        <x:v>821.3399999999999</x:v>
      </x:c>
      <x:c r="D18" s="60" t="n">
        <x:f>SUM(D16:D17)</x:f>
        <x:v>1693.0555200000003</x:v>
      </x:c>
      <x:c r="E18" s="60" t="n">
        <x:f>SUM(E16:E17)</x:f>
        <x:v>2389.1137920000006</x:v>
      </x:c>
      <x:c r="F18" s="82" t="str">
        <x:v>Denominador común control/tratamiento</x:v>
      </x:c>
      <x:c r="G18" s="2"/>
    </x:row>
    <x:row r="19" ht="20" customHeight="1">
      <x:c r="A19" s="50" t="str">
        <x:v>Tasa servicio completado - control</x:v>
      </x:c>
      <x:c r="B19" s="56"/>
      <x:c r="C19" s="61" t="n">
        <x:f>Supuestos!$C$16</x:f>
        <x:v>0.22</x:v>
      </x:c>
      <x:c r="D19" s="61" t="n">
        <x:f>Supuestos!$C$16</x:f>
        <x:v>0.22</x:v>
      </x:c>
      <x:c r="E19" s="61" t="n">
        <x:f>Supuestos!$C$16</x:f>
        <x:v>0.22</x:v>
      </x:c>
      <x:c r="F19" s="82"/>
      <x:c r="G19" s="2"/>
    </x:row>
    <x:row r="20" ht="20" customHeight="1">
      <x:c r="A20" s="2" t="str">
        <x:v>Tasa servicio completado - producto</x:v>
      </x:c>
      <x:c r="B20" s="35"/>
      <x:c r="C20" s="59" t="n">
        <x:f>Supuestos!$C$17</x:f>
        <x:v>0.45</x:v>
      </x:c>
      <x:c r="D20" s="59" t="n">
        <x:f>Supuestos!$C$17</x:f>
        <x:v>0.45</x:v>
      </x:c>
      <x:c r="E20" s="59" t="n">
        <x:f>Supuestos!$C$17</x:f>
        <x:v>0.45</x:v>
      </x:c>
      <x:c r="F20" s="82"/>
      <x:c r="G20" s="2"/>
    </x:row>
    <x:row r="21" ht="20" customHeight="1">
      <x:c r="A21" s="2" t="str">
        <x:v>Servicios del control estimados</x:v>
      </x:c>
      <x:c r="B21" s="35"/>
      <x:c r="C21" s="60" t="n">
        <x:f>C18*C19</x:f>
        <x:v>180.6948</x:v>
      </x:c>
      <x:c r="D21" s="60" t="n">
        <x:f>D18*D19</x:f>
        <x:v>372.4722144000001</x:v>
      </x:c>
      <x:c r="E21" s="60" t="n">
        <x:f>E18*E19</x:f>
        <x:v>525.6050342400001</x:v>
      </x:c>
      <x:c r="F21" s="82"/>
      <x:c r="G21" s="2"/>
    </x:row>
    <x:row r="22" ht="20" customHeight="1">
      <x:c r="A22" s="2" t="str">
        <x:v>Servicios del tratamiento estimados</x:v>
      </x:c>
      <x:c r="B22" s="35"/>
      <x:c r="C22" s="60" t="n">
        <x:f>C18*C20</x:f>
        <x:v>369.60299999999995</x:v>
      </x:c>
      <x:c r="D22" s="60" t="n">
        <x:f>D18*D20</x:f>
        <x:v>761.8749840000002</x:v>
      </x:c>
      <x:c r="E22" s="60" t="n">
        <x:f>E18*E20</x:f>
        <x:v>1075.1012064000004</x:v>
      </x:c>
      <x:c r="F22" s="82"/>
      <x:c r="G22" s="2"/>
    </x:row>
    <x:row r="23" ht="20" customHeight="1">
      <x:c r="A23" s="2" t="str">
        <x:v>Servicios incrementales posibles</x:v>
      </x:c>
      <x:c r="B23" s="35"/>
      <x:c r="C23" s="60" t="n">
        <x:f>MAX(0,C22-C21)</x:f>
        <x:v>188.90819999999997</x:v>
      </x:c>
      <x:c r="D23" s="60" t="n">
        <x:f>MAX(0,D22-D21)</x:f>
        <x:v>389.40276960000006</x:v>
      </x:c>
      <x:c r="E23" s="60" t="n">
        <x:f>MAX(0,E22-E21)</x:f>
        <x:v>549.4961721600002</x:v>
      </x:c>
      <x:c r="F23" s="82"/>
      <x:c r="G23" s="2"/>
    </x:row>
    <x:row r="24" ht="20" customHeight="1">
      <x:c r="A24" s="2" t="str">
        <x:v>Cupos incrementales / sede / mes</x:v>
      </x:c>
      <x:c r="B24" s="35"/>
      <x:c r="C24" s="60" t="n">
        <x:f>Supuestos!$C$20</x:f>
        <x:v>18</x:v>
      </x:c>
      <x:c r="D24" s="60" t="n">
        <x:f>Supuestos!$C$20</x:f>
        <x:v>18</x:v>
      </x:c>
      <x:c r="E24" s="60" t="n">
        <x:f>Supuestos!$C$20</x:f>
        <x:v>18</x:v>
      </x:c>
      <x:c r="F24" s="82"/>
      <x:c r="G24" s="2"/>
    </x:row>
    <x:row r="25" ht="20" customHeight="1">
      <x:c r="A25" s="2" t="str">
        <x:v>Capacidad real de servicio adicional</x:v>
      </x:c>
      <x:c r="B25" s="35"/>
      <x:c r="C25" s="60" t="n">
        <x:f>Supuestos!$C$5*C24*12*C6</x:f>
        <x:v>864</x:v>
      </x:c>
      <x:c r="D25" s="60" t="n">
        <x:f>Supuestos!$C$5*D24*12*D6</x:f>
        <x:v>1382.4</x:v>
      </x:c>
      <x:c r="E25" s="60" t="n">
        <x:f>Supuestos!$C$5*E24*12*E6</x:f>
        <x:v>1728</x:v>
      </x:c>
      <x:c r="F25" s="82"/>
      <x:c r="G25" s="2"/>
    </x:row>
    <x:row r="26" ht="20" customHeight="1">
      <x:c r="A26" s="44" t="str">
        <x:v>SERVICIOS INCREMENTALES CAPTURADOS</x:v>
      </x:c>
      <x:c r="B26" s="45"/>
      <x:c r="C26" s="68" t="n">
        <x:f>MIN(C23,C25)</x:f>
        <x:v>188.90819999999997</x:v>
      </x:c>
      <x:c r="D26" s="68" t="n">
        <x:f>MIN(D23,D25)</x:f>
        <x:v>389.40276960000006</x:v>
      </x:c>
      <x:c r="E26" s="68" t="n">
        <x:f>MIN(E23,E25)</x:f>
        <x:v>549.4961721600002</x:v>
      </x:c>
      <x:c r="F26" s="82" t="str">
        <x:v>Limitado por cupos; no desplaza OT normales</x:v>
      </x:c>
      <x:c r="G26" s="2"/>
    </x:row>
    <x:row r="27" ht="20" customHeight="1">
      <x:c r="A27" s="2" t="str">
        <x:v>Servicios incrementales perdidos por cupos</x:v>
      </x:c>
      <x:c r="B27" s="35"/>
      <x:c r="C27" s="60" t="n">
        <x:f>MAX(0,C23-C26)</x:f>
        <x:v>0</x:v>
      </x:c>
      <x:c r="D27" s="60" t="n">
        <x:f>MAX(0,D23-D26)</x:f>
        <x:v>0</x:v>
      </x:c>
      <x:c r="E27" s="60" t="n">
        <x:f>MAX(0,E23-E26)</x:f>
        <x:v>0</x:v>
      </x:c>
      <x:c r="F27" s="82"/>
      <x:c r="G27" s="2"/>
    </x:row>
    <x:row r="28" ht="20" customHeight="1">
      <x:c r="A28" s="2"/>
      <x:c r="B28" s="35"/>
      <x:c r="C28" s="60"/>
      <x:c r="D28" s="60"/>
      <x:c r="E28" s="60"/>
      <x:c r="F28" s="82"/>
      <x:c r="G28" s="2"/>
    </x:row>
    <x:row r="29" ht="20" customHeight="1">
      <x:c r="A29" s="50" t="str">
        <x:v>Ticket neto por OT (COP)</x:v>
      </x:c>
      <x:c r="B29" s="56"/>
      <x:c r="C29" s="58" t="n">
        <x:f>Supuestos!$C$18</x:f>
        <x:v>450000</x:v>
      </x:c>
      <x:c r="D29" s="58" t="n">
        <x:f>Supuestos!$C$18</x:f>
        <x:v>450000</x:v>
      </x:c>
      <x:c r="E29" s="58" t="n">
        <x:f>Supuestos!$C$18</x:f>
        <x:v>450000</x:v>
      </x:c>
      <x:c r="F29" s="82" t="str">
        <x:v>Factura neta IVA, no importe bruto</x:v>
      </x:c>
      <x:c r="G29" s="2"/>
    </x:row>
    <x:row r="30" ht="20" customHeight="1">
      <x:c r="A30" s="2" t="str">
        <x:v>Ingreso incremental taller (COP)</x:v>
      </x:c>
      <x:c r="B30" s="35"/>
      <x:c r="C30" s="60" t="n">
        <x:f>C26*C29</x:f>
        <x:v>85008689.99999999</x:v>
      </x:c>
      <x:c r="D30" s="60" t="n">
        <x:f>D26*D29</x:f>
        <x:v>175231246.32000002</x:v>
      </x:c>
      <x:c r="E30" s="60" t="n">
        <x:f>E26*E29</x:f>
        <x:v>247273277.47200012</x:v>
      </x:c>
      <x:c r="F30" s="82"/>
      <x:c r="G30" s="2"/>
    </x:row>
    <x:row r="31" ht="20" customHeight="1">
      <x:c r="A31" s="2" t="str">
        <x:v>Margen de contribución variable</x:v>
      </x:c>
      <x:c r="B31" s="35"/>
      <x:c r="C31" s="59" t="n">
        <x:f>Supuestos!$C$19</x:f>
        <x:v>0.35</x:v>
      </x:c>
      <x:c r="D31" s="59" t="n">
        <x:f>Supuestos!$C$19</x:f>
        <x:v>0.35</x:v>
      </x:c>
      <x:c r="E31" s="59" t="n">
        <x:f>Supuestos!$C$19</x:f>
        <x:v>0.35</x:v>
      </x:c>
      <x:c r="F31" s="82"/>
      <x:c r="G31" s="2"/>
    </x:row>
    <x:row r="32" ht="20" customHeight="1">
      <x:c r="A32" s="44" t="str">
        <x:v>CONTRIBUCIÓN INCREMENTAL TALLER (COP)</x:v>
      </x:c>
      <x:c r="B32" s="45"/>
      <x:c r="C32" s="68" t="n">
        <x:f>C30*C31</x:f>
        <x:v>29753041.499999993</x:v>
      </x:c>
      <x:c r="D32" s="68" t="n">
        <x:f>D30*D31</x:f>
        <x:v>61330936.212000005</x:v>
      </x:c>
      <x:c r="E32" s="68" t="n">
        <x:f>E30*E31</x:f>
        <x:v>86545647.11520004</x:v>
      </x:c>
      <x:c r="F32" s="82"/>
      <x:c r="G32" s="2"/>
    </x:row>
    <x:row r="33" ht="20" customHeight="1">
      <x:c r="A33" s="2"/>
      <x:c r="B33" s="35"/>
      <x:c r="C33" s="60"/>
      <x:c r="D33" s="60"/>
      <x:c r="E33" s="60"/>
      <x:c r="F33" s="82"/>
      <x:c r="G33" s="2"/>
    </x:row>
    <x:row r="34" ht="20" customHeight="1">
      <x:c r="A34" s="50" t="str">
        <x:v>% contactos que abren chat IA</x:v>
      </x:c>
      <x:c r="B34" s="56"/>
      <x:c r="C34" s="61" t="n">
        <x:f>Supuestos!$C$21</x:f>
        <x:v>0.6</x:v>
      </x:c>
      <x:c r="D34" s="61" t="n">
        <x:f>Supuestos!$C$21</x:f>
        <x:v>0.6</x:v>
      </x:c>
      <x:c r="E34" s="61" t="n">
        <x:f>Supuestos!$C$21</x:f>
        <x:v>0.6</x:v>
      </x:c>
      <x:c r="F34" s="82"/>
      <x:c r="G34" s="2"/>
    </x:row>
    <x:row r="35" ht="20" customHeight="1">
      <x:c r="A35" s="2" t="str">
        <x:v>Contactos elegibles en el ejercicio</x:v>
      </x:c>
      <x:c r="B35" s="35"/>
      <x:c r="C35" s="60" t="n">
        <x:f>C18</x:f>
        <x:v>821.3399999999999</x:v>
      </x:c>
      <x:c r="D35" s="60" t="n">
        <x:f>D18</x:f>
        <x:v>1693.0555200000003</x:v>
      </x:c>
      <x:c r="E35" s="60" t="n">
        <x:f>E18</x:f>
        <x:v>2389.1137920000006</x:v>
      </x:c>
      <x:c r="F35" s="82"/>
      <x:c r="G35" s="2"/>
    </x:row>
    <x:row r="36" ht="20" customHeight="1">
      <x:c r="A36" s="2" t="str">
        <x:v>Conversaciones con IA</x:v>
      </x:c>
      <x:c r="B36" s="35"/>
      <x:c r="C36" s="60" t="n">
        <x:f>C35*C34</x:f>
        <x:v>492.8039999999999</x:v>
      </x:c>
      <x:c r="D36" s="60" t="n">
        <x:f>D35*D34</x:f>
        <x:v>1015.8333120000002</x:v>
      </x:c>
      <x:c r="E36" s="60" t="n">
        <x:f>E35*E34</x:f>
        <x:v>1433.4682752000003</x:v>
      </x:c>
      <x:c r="F36" s="82"/>
      <x:c r="G36" s="2"/>
    </x:row>
    <x:row r="37" ht="20" customHeight="1">
      <x:c r="A37" s="2" t="str">
        <x:v>Costo IA por conversación (COP)</x:v>
      </x:c>
      <x:c r="B37" s="35"/>
      <x:c r="C37" s="60" t="n">
        <x:f>Costos!$B$30*Supuestos!$C$27</x:f>
        <x:v>780.0000000000002</x:v>
      </x:c>
      <x:c r="D37" s="60" t="n">
        <x:f>Costos!$B$30*Supuestos!$C$27</x:f>
        <x:v>780.0000000000002</x:v>
      </x:c>
      <x:c r="E37" s="60" t="n">
        <x:f>Costos!$B$30*Supuestos!$C$27</x:f>
        <x:v>780.0000000000002</x:v>
      </x:c>
      <x:c r="F37" s="82" t="str">
        <x:v>Tarifa token real + consumo supuesto</x:v>
      </x:c>
      <x:c r="G37" s="2"/>
    </x:row>
    <x:row r="38" ht="20" customHeight="1">
      <x:c r="A38" s="2" t="str">
        <x:v>Costo variable IA (COP)</x:v>
      </x:c>
      <x:c r="B38" s="35"/>
      <x:c r="C38" s="60" t="n">
        <x:f>C36*C37</x:f>
        <x:v>384387.12000000005</x:v>
      </x:c>
      <x:c r="D38" s="60" t="n">
        <x:f>D36*D37</x:f>
        <x:v>792349.9833600004</x:v>
      </x:c>
      <x:c r="E38" s="60" t="n">
        <x:f>E36*E37</x:f>
        <x:v>1118105.2546560005</x:v>
      </x:c>
      <x:c r="F38" s="82"/>
      <x:c r="G38" s="2"/>
    </x:row>
    <x:row r="39" ht="20" customHeight="1">
      <x:c r="A39" s="2" t="str">
        <x:v>Mensajes entregados / contacto</x:v>
      </x:c>
      <x:c r="B39" s="35"/>
      <x:c r="C39" s="60" t="n">
        <x:f>Supuestos!$C$22</x:f>
        <x:v>2</x:v>
      </x:c>
      <x:c r="D39" s="60" t="n">
        <x:f>Supuestos!$C$22</x:f>
        <x:v>2</x:v>
      </x:c>
      <x:c r="E39" s="60" t="n">
        <x:f>Supuestos!$C$22</x:f>
        <x:v>2</x:v>
      </x:c>
      <x:c r="F39" s="82"/>
      <x:c r="G39" s="2"/>
    </x:row>
    <x:row r="40" ht="20" customHeight="1">
      <x:c r="A40" s="2" t="str">
        <x:v>Tarifa por mensaje (COP)</x:v>
      </x:c>
      <x:c r="B40" s="35"/>
      <x:c r="C40" s="60" t="n">
        <x:f>Supuestos!$C$24</x:f>
        <x:v>45</x:v>
      </x:c>
      <x:c r="D40" s="60" t="n">
        <x:f>Supuestos!$C$24</x:f>
        <x:v>45</x:v>
      </x:c>
      <x:c r="E40" s="60" t="n">
        <x:f>Supuestos!$C$24</x:f>
        <x:v>45</x:v>
      </x:c>
      <x:c r="F40" s="82"/>
      <x:c r="G40" s="2"/>
    </x:row>
    <x:row r="41" ht="20" customHeight="1">
      <x:c r="A41" s="2" t="str">
        <x:v>Fee canal/BSP por contacto (COP)</x:v>
      </x:c>
      <x:c r="B41" s="35"/>
      <x:c r="C41" s="60" t="n">
        <x:f>Supuestos!$C$23</x:f>
        <x:v>100</x:v>
      </x:c>
      <x:c r="D41" s="60" t="n">
        <x:f>Supuestos!$C$23</x:f>
        <x:v>100</x:v>
      </x:c>
      <x:c r="E41" s="60" t="n">
        <x:f>Supuestos!$C$23</x:f>
        <x:v>100</x:v>
      </x:c>
      <x:c r="F41" s="82"/>
      <x:c r="G41" s="2"/>
    </x:row>
    <x:row r="42" ht="20" customHeight="1">
      <x:c r="A42" s="2" t="str">
        <x:v>Costo comunicaciones (COP)</x:v>
      </x:c>
      <x:c r="B42" s="35"/>
      <x:c r="C42" s="60" t="n">
        <x:f>C35*(C39*C40+C41)</x:f>
        <x:v>156054.59999999998</x:v>
      </x:c>
      <x:c r="D42" s="60" t="n">
        <x:f>D35*(D39*D40+D41)</x:f>
        <x:v>321680.54880000005</x:v>
      </x:c>
      <x:c r="E42" s="60" t="n">
        <x:f>E35*(E39*E40+E41)</x:f>
        <x:v>453931.6204800001</x:v>
      </x:c>
      <x:c r="F42" s="82"/>
      <x:c r="G42" s="2"/>
    </x:row>
    <x:row r="43" ht="20" customHeight="1">
      <x:c r="A43" s="2" t="str">
        <x:v>Derivaciones sobre conversaciones</x:v>
      </x:c>
      <x:c r="B43" s="35"/>
      <x:c r="C43" s="59" t="n">
        <x:f>Supuestos!$C$25</x:f>
        <x:v>0.12</x:v>
      </x:c>
      <x:c r="D43" s="59" t="n">
        <x:f>Supuestos!$C$25</x:f>
        <x:v>0.12</x:v>
      </x:c>
      <x:c r="E43" s="59" t="n">
        <x:f>Supuestos!$C$25</x:f>
        <x:v>0.12</x:v>
      </x:c>
      <x:c r="F43" s="82"/>
      <x:c r="G43" s="2"/>
    </x:row>
    <x:row r="44" ht="20" customHeight="1">
      <x:c r="A44" s="2" t="str">
        <x:v>Costo marginal de derivación (COP)</x:v>
      </x:c>
      <x:c r="B44" s="35"/>
      <x:c r="C44" s="60" t="n">
        <x:f>Supuestos!$C$26</x:f>
        <x:v>12000</x:v>
      </x:c>
      <x:c r="D44" s="60" t="n">
        <x:f>Supuestos!$C$26</x:f>
        <x:v>12000</x:v>
      </x:c>
      <x:c r="E44" s="60" t="n">
        <x:f>Supuestos!$C$26</x:f>
        <x:v>12000</x:v>
      </x:c>
      <x:c r="F44" s="82"/>
      <x:c r="G44" s="2"/>
    </x:row>
    <x:row r="45" ht="20" customHeight="1">
      <x:c r="A45" s="2" t="str">
        <x:v>Costo operativo derivaciones (COP)</x:v>
      </x:c>
      <x:c r="B45" s="35"/>
      <x:c r="C45" s="60" t="n">
        <x:f>C36*C43*C44</x:f>
        <x:v>709637.7599999998</x:v>
      </x:c>
      <x:c r="D45" s="60" t="n">
        <x:f>D36*D43*D44</x:f>
        <x:v>1462799.9692800003</x:v>
      </x:c>
      <x:c r="E45" s="60" t="n">
        <x:f>E36*E43*E44</x:f>
        <x:v>2064194.3162880004</x:v>
      </x:c>
      <x:c r="F45" s="82"/>
      <x:c r="G45" s="2"/>
    </x:row>
    <x:row r="46" ht="20" customHeight="1">
      <x:c r="A46" s="2" t="str">
        <x:v>Minutos liberados / chat</x:v>
      </x:c>
      <x:c r="B46" s="35"/>
      <x:c r="C46" s="60" t="n">
        <x:f>Supuestos!$C$32</x:f>
        <x:v>4</x:v>
      </x:c>
      <x:c r="D46" s="60" t="n">
        <x:f>Supuestos!$C$32</x:f>
        <x:v>4</x:v>
      </x:c>
      <x:c r="E46" s="60" t="n">
        <x:f>Supuestos!$C$32</x:f>
        <x:v>4</x:v>
      </x:c>
      <x:c r="F46" s="82"/>
      <x:c r="G46" s="2"/>
    </x:row>
    <x:row r="47" ht="20" customHeight="1">
      <x:c r="A47" s="2" t="str">
        <x:v>Costo personal por hora (COP)</x:v>
      </x:c>
      <x:c r="B47" s="35"/>
      <x:c r="C47" s="60" t="n">
        <x:f>Supuestos!$C$33</x:f>
        <x:v>35000</x:v>
      </x:c>
      <x:c r="D47" s="60" t="n">
        <x:f>Supuestos!$C$33</x:f>
        <x:v>35000</x:v>
      </x:c>
      <x:c r="E47" s="60" t="n">
        <x:f>Supuestos!$C$33</x:f>
        <x:v>35000</x:v>
      </x:c>
      <x:c r="F47" s="82"/>
      <x:c r="G47" s="2"/>
    </x:row>
    <x:row r="48" ht="20" customHeight="1">
      <x:c r="A48" s="2" t="str">
        <x:v>Fracción de eficiencia monetizable</x:v>
      </x:c>
      <x:c r="B48" s="35"/>
      <x:c r="C48" s="59" t="n">
        <x:f>Supuestos!$C$31</x:f>
        <x:v>0</x:v>
      </x:c>
      <x:c r="D48" s="59" t="n">
        <x:f>Supuestos!$C$31</x:f>
        <x:v>0</x:v>
      </x:c>
      <x:c r="E48" s="59" t="n">
        <x:f>Supuestos!$C$31</x:f>
        <x:v>0</x:v>
      </x:c>
      <x:c r="F48" s="82"/>
      <x:c r="G48" s="2"/>
    </x:row>
    <x:row r="49" ht="20" customHeight="1">
      <x:c r="A49" s="2" t="str">
        <x:v>Valor económico eficiencia (COP)</x:v>
      </x:c>
      <x:c r="B49" s="35"/>
      <x:c r="C49" s="60" t="n">
        <x:f>C36*C46/60*C47*C48</x:f>
        <x:v>0</x:v>
      </x:c>
      <x:c r="D49" s="60" t="n">
        <x:f>D36*D46/60*D47*D48</x:f>
        <x:v>0</x:v>
      </x:c>
      <x:c r="E49" s="60" t="n">
        <x:f>E36*E46/60*E47*E48</x:f>
        <x:v>0</x:v>
      </x:c>
      <x:c r="F49" s="82" t="str">
        <x:v>Por defecto 0: no monetizar ahorro sin evidencia</x:v>
      </x:c>
      <x:c r="G49" s="2"/>
    </x:row>
    <x:row r="50" ht="20" customHeight="1">
      <x:c r="A50" s="2"/>
      <x:c r="B50" s="35"/>
      <x:c r="C50" s="60"/>
      <x:c r="D50" s="60"/>
      <x:c r="E50" s="60"/>
      <x:c r="F50" s="82"/>
      <x:c r="G50" s="2"/>
    </x:row>
    <x:row r="51" ht="20" customHeight="1">
      <x:c r="A51" s="50" t="str">
        <x:v>Gasto tecnología fijo anual (COP)</x:v>
      </x:c>
      <x:c r="B51" s="56"/>
      <x:c r="C51" s="58" t="n">
        <x:f>Costos!$B$16*Supuestos!$C$29</x:f>
        <x:v>32000000</x:v>
      </x:c>
      <x:c r="D51" s="58" t="n">
        <x:f>Costos!$B$16*Supuestos!$C$29</x:f>
        <x:v>32000000</x:v>
      </x:c>
      <x:c r="E51" s="58" t="n">
        <x:f>Costos!$B$16*Supuestos!$C$29</x:f>
        <x:v>32000000</x:v>
      </x:c>
      <x:c r="F51" s="82"/>
      <x:c r="G51" s="2"/>
    </x:row>
    <x:row r="52" ht="20" customHeight="1">
      <x:c r="A52" s="2" t="str">
        <x:v>Gobernanza + soporte anual (COP)</x:v>
      </x:c>
      <x:c r="B52" s="35"/>
      <x:c r="C52" s="60" t="n">
        <x:f>Costos!$B$21*Supuestos!$C$30</x:f>
        <x:v>12000000</x:v>
      </x:c>
      <x:c r="D52" s="60" t="n">
        <x:f>Costos!$B$21*Supuestos!$C$30</x:f>
        <x:v>12000000</x:v>
      </x:c>
      <x:c r="E52" s="60" t="n">
        <x:f>Costos!$B$21*Supuestos!$C$30</x:f>
        <x:v>12000000</x:v>
      </x:c>
      <x:c r="F52" s="82"/>
      <x:c r="G52" s="2"/>
    </x:row>
    <x:row r="53" ht="20" customHeight="1">
      <x:c r="A53" s="44" t="str">
        <x:v>BENEFICIO BRUTO INCREMENTAL (COP)</x:v>
      </x:c>
      <x:c r="B53" s="45"/>
      <x:c r="C53" s="68" t="n">
        <x:f>SUM(C32,C49)</x:f>
        <x:v>29753041.499999993</x:v>
      </x:c>
      <x:c r="D53" s="68" t="n">
        <x:f>SUM(D32,D49)</x:f>
        <x:v>61330936.212000005</x:v>
      </x:c>
      <x:c r="E53" s="68" t="n">
        <x:f>SUM(E32,E49)</x:f>
        <x:v>86545647.11520004</x:v>
      </x:c>
      <x:c r="F53" s="82"/>
      <x:c r="G53" s="2"/>
    </x:row>
    <x:row r="54" ht="20" customHeight="1">
      <x:c r="A54" s="44" t="str">
        <x:v>COSTOS VARIABLES INCREMENTALES (COP)</x:v>
      </x:c>
      <x:c r="B54" s="45"/>
      <x:c r="C54" s="68" t="n">
        <x:f>SUM(C38,C42,C45)</x:f>
        <x:v>1250079.4799999997</x:v>
      </x:c>
      <x:c r="D54" s="68" t="n">
        <x:f>SUM(D38,D42,D45)</x:f>
        <x:v>2576830.5014400007</x:v>
      </x:c>
      <x:c r="E54" s="68" t="n">
        <x:f>SUM(E38,E42,E45)</x:f>
        <x:v>3636231.191424001</x:v>
      </x:c>
      <x:c r="F54" s="82"/>
      <x:c r="G54" s="2"/>
    </x:row>
    <x:row r="55" ht="20" customHeight="1">
      <x:c r="A55" s="44" t="str">
        <x:v>COSTOS FIJOS ANUALES (COP)</x:v>
      </x:c>
      <x:c r="B55" s="45"/>
      <x:c r="C55" s="68" t="n">
        <x:f>SUM(C51:C52)</x:f>
        <x:v>44000000</x:v>
      </x:c>
      <x:c r="D55" s="68" t="n">
        <x:f>SUM(D51:D52)</x:f>
        <x:v>44000000</x:v>
      </x:c>
      <x:c r="E55" s="68" t="n">
        <x:f>SUM(E51:E52)</x:f>
        <x:v>44000000</x:v>
      </x:c>
      <x:c r="F55" s="82"/>
      <x:c r="G55" s="2"/>
    </x:row>
    <x:row r="56" ht="20" customHeight="1">
      <x:c r="A56" s="76" t="str">
        <x:v>FLUJO OPERATIVO NETO (COP)</x:v>
      </x:c>
      <x:c r="B56" s="77"/>
      <x:c r="C56" s="78" t="n">
        <x:f>C53-C54-C55</x:f>
        <x:v>-15497037.980000008</x:v>
      </x:c>
      <x:c r="D56" s="78" t="n">
        <x:f>D53-D54-D55</x:f>
        <x:v>14754105.710560001</x:v>
      </x:c>
      <x:c r="E56" s="78" t="n">
        <x:f>E53-E54-E55</x:f>
        <x:v>38909415.923776045</x:v>
      </x:c>
      <x:c r="F56" s="82"/>
      <x:c r="G56" s="2"/>
    </x:row>
    <x:row r="57" ht="20" customHeight="1">
      <x:c r="A57" s="2"/>
      <x:c r="B57" s="35"/>
      <x:c r="C57" s="60"/>
      <x:c r="D57" s="60"/>
      <x:c r="E57" s="60"/>
      <x:c r="F57" s="82"/>
      <x:c r="G57" s="2"/>
    </x:row>
    <x:row r="58" ht="20" customHeight="1">
      <x:c r="A58" s="2" t="str">
        <x:v>Inversión inicial desembolsada (COP)</x:v>
      </x:c>
      <x:c r="B58" s="35" t="n">
        <x:f>Costos!$B$10*Supuestos!$C$28</x:f>
        <x:v>70000000</x:v>
      </x:c>
      <x:c r="C58" s="60" t="n">
        <x:f>0</x:f>
        <x:v>0</x:v>
      </x:c>
      <x:c r="D58" s="60" t="n">
        <x:f>0</x:f>
        <x:v>0</x:v>
      </x:c>
      <x:c r="E58" s="60" t="n">
        <x:f>0</x:f>
        <x:v>0</x:v>
      </x:c>
      <x:c r="F58" s="82"/>
      <x:c r="G58" s="2"/>
    </x:row>
    <x:row r="59" ht="20" customHeight="1">
      <x:c r="A59" s="76" t="str">
        <x:v>FLUJO DE CAJA NETO (COP)</x:v>
      </x:c>
      <x:c r="B59" s="77" t="n">
        <x:f>-B58</x:f>
        <x:v>-70000000</x:v>
      </x:c>
      <x:c r="C59" s="78" t="n">
        <x:f>C56</x:f>
        <x:v>-15497037.980000008</x:v>
      </x:c>
      <x:c r="D59" s="78" t="n">
        <x:f>D56</x:f>
        <x:v>14754105.710560001</x:v>
      </x:c>
      <x:c r="E59" s="78" t="n">
        <x:f>E56</x:f>
        <x:v>38909415.923776045</x:v>
      </x:c>
      <x:c r="F59" s="82"/>
      <x:c r="G59" s="2"/>
    </x:row>
    <x:row r="60" ht="20" customHeight="1">
      <x:c r="A60" s="44" t="str">
        <x:v>FLUJO DESCONTADO (COP)</x:v>
      </x:c>
      <x:c r="B60" s="45" t="n">
        <x:f>B59</x:f>
        <x:v>-70000000</x:v>
      </x:c>
      <x:c r="C60" s="68" t="n">
        <x:f>C59/(1+Supuestos!$C$34)^1</x:f>
        <x:v>-13475685.200000009</x:v>
      </x:c>
      <x:c r="D60" s="68" t="n">
        <x:f>D59/(1+Supuestos!$C$34)^2</x:f>
        <x:v>11156223.5996673</x:v>
      </x:c>
      <x:c r="E60" s="68" t="n">
        <x:f>E59/(1+Supuestos!$C$34)^3</x:f>
        <x:v>25583572.56433044</x:v>
      </x:c>
      <x:c r="F60" s="82" t="str">
        <x:v>Año 0 sin descuento; años 1–3 descontados</x:v>
      </x:c>
      <x:c r="G60" s="2"/>
    </x:row>
    <x:row r="61" ht="20" customHeight="1">
      <x:c r="A61" s="44" t="str">
        <x:v>Acumulado caja sin descuento (COP)</x:v>
      </x:c>
      <x:c r="B61" s="45" t="n">
        <x:f>B59</x:f>
        <x:v>-70000000</x:v>
      </x:c>
      <x:c r="C61" s="68" t="n">
        <x:f>$B$61+C59</x:f>
        <x:v>-85497037.98</x:v>
      </x:c>
      <x:c r="D61" s="68" t="n">
        <x:f>C61+D59</x:f>
        <x:v>-70742932.26944</x:v>
      </x:c>
      <x:c r="E61" s="68" t="n">
        <x:f>D61+E59</x:f>
        <x:v>-31833516.34566395</x:v>
      </x:c>
      <x:c r="F61" s="82"/>
      <x:c r="G61" s="2"/>
    </x:row>
    <x:row r="62" ht="20" customHeight="1">
      <x:c r="A62" s="44" t="str">
        <x:v>Acumulado caja descontado (COP)</x:v>
      </x:c>
      <x:c r="B62" s="45" t="n">
        <x:f>B60</x:f>
        <x:v>-70000000</x:v>
      </x:c>
      <x:c r="C62" s="68" t="n">
        <x:f>$B$62+C60</x:f>
        <x:v>-83475685.2</x:v>
      </x:c>
      <x:c r="D62" s="68" t="n">
        <x:f>C62+D60</x:f>
        <x:v>-72319461.6003327</x:v>
      </x:c>
      <x:c r="E62" s="68" t="n">
        <x:f>D62+E60</x:f>
        <x:v>-46735889.03600226</x:v>
      </x:c>
      <x:c r="F62" s="82"/>
      <x:c r="G62" s="2"/>
    </x:row>
    <x:row r="63" ht="20" customHeight="1">
      <x:c r="A63" s="2"/>
      <x:c r="B63" s="35"/>
      <x:c r="C63" s="60"/>
      <x:c r="D63" s="60"/>
      <x:c r="E63" s="60"/>
      <x:c r="F63" s="82"/>
      <x:c r="G63" s="2"/>
    </x:row>
    <x:row r="64" ht="20" customHeight="1">
      <x:c r="A64" s="2" t="str">
        <x:v>RATIO capacidad usada</x:v>
      </x:c>
      <x:c r="B64" s="35"/>
      <x:c r="C64" s="59" t="n">
        <x:f>IFERROR(C26/C25,0)</x:f>
        <x:v>0.21864374999999997</x:v>
      </x:c>
      <x:c r="D64" s="59" t="n">
        <x:f>IFERROR(D26/D25,0)</x:f>
        <x:v>0.28168603125</x:v>
      </x:c>
      <x:c r="E64" s="59" t="n">
        <x:f>IFERROR(E26/E25,0)</x:f>
        <x:v>0.3179954700000001</x:v>
      </x:c>
      <x:c r="F64" s="82"/>
      <x:c r="G64" s="2"/>
    </x:row>
    <x:row r="65" ht="20" customHeight="1">
      <x:c r="A65" s="2" t="str">
        <x:v>Contribución neta / cliente atendible (COP)</x:v>
      </x:c>
      <x:c r="B65" s="35"/>
      <x:c r="C65" s="60" t="n">
        <x:f>IFERROR(C56/C18,0)</x:f>
        <x:v>-18867.993741933926</x:v>
      </x:c>
      <x:c r="D65" s="60" t="n">
        <x:f>IFERROR(D56/D18,0)</x:f>
        <x:v>8714.484277845771</x:v>
      </x:c>
      <x:c r="E65" s="60" t="n">
        <x:f>IFERROR(E56/E18,0)</x:f>
        <x:v>16286.129214131646</x:v>
      </x:c>
      <x:c r="F65" s="82"/>
      <x:c r="G65" s="2"/>
    </x:row>
    <x:row r="66" ht="20" customHeight="1">
      <x:c r="A66" s="2" t="str">
        <x:v>Efecto neto tasa conversión (pp)</x:v>
      </x:c>
      <x:c r="B66" s="35"/>
      <x:c r="C66" s="59" t="n">
        <x:f>C20-C19</x:f>
        <x:v>0.23</x:v>
      </x:c>
      <x:c r="D66" s="59" t="n">
        <x:f>D20-D19</x:f>
        <x:v>0.23</x:v>
      </x:c>
      <x:c r="E66" s="59" t="n">
        <x:f>E20-E19</x:f>
        <x:v>0.23</x:v>
      </x:c>
      <x:c r="F66" s="8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0" hidden="0" customWidth="1"/>
    <x:col min="7" max="7" width="30" hidden="0" customWidth="1"/>
  </x:cols>
  <x:sheetData>
    <x:row r="1" ht="38" customHeight="1">
      <x:c r="A1" s="6" t="str">
        <x:v>VEHICLE CARE  |  ESCENARIO OPTIMISTA</x:v>
      </x:c>
      <x:c r="B1" s="6"/>
      <x:c r="C1" s="6"/>
      <x:c r="D1" s="6"/>
      <x:c r="E1" s="6"/>
      <x:c r="F1" s="6"/>
      <x:c r="G1" s="2"/>
    </x:row>
    <x:row r="2" ht="28" customHeight="1">
      <x:c r="A2" s="11" t="str">
        <x:v>Cohortes de entregas ≤180 días · Flujo incremental vs operación habitual · COP nominales sin IVA</x:v>
      </x:c>
      <x:c r="B2" s="11"/>
      <x:c r="C2" s="11"/>
      <x:c r="D2" s="11"/>
      <x:c r="E2" s="11"/>
      <x:c r="F2" s="11"/>
      <x:c r="G2" s="2"/>
    </x:row>
    <x:row r="3" ht="20" customHeight="1">
      <x:c r="A3" s="2"/>
      <x:c r="B3" s="2"/>
      <x:c r="C3" s="2"/>
      <x:c r="D3" s="2"/>
      <x:c r="E3" s="2"/>
      <x:c r="F3" s="2"/>
      <x:c r="G3" s="2"/>
    </x:row>
    <x:row r="4" ht="27" customHeight="1">
      <x:c r="A4" s="16" t="str">
        <x:v>Funnel / unidad</x:v>
      </x:c>
      <x:c r="B4" s="16" t="str">
        <x:v>Año 0 · 2026</x:v>
      </x:c>
      <x:c r="C4" s="16" t="str">
        <x:v>Año 1 · 2027</x:v>
      </x:c>
      <x:c r="D4" s="16" t="str">
        <x:v>Año 2 · 2028</x:v>
      </x:c>
      <x:c r="E4" s="16" t="str">
        <x:v>Año 3 · 2029</x:v>
      </x:c>
      <x:c r="F4" s="2"/>
      <x:c r="G4" s="2"/>
    </x:row>
    <x:row r="5" ht="20" customHeight="1">
      <x:c r="A5" s="50" t="str">
        <x:v>Ventas usados red (veh./año)</x:v>
      </x:c>
      <x:c r="B5" s="56"/>
      <x:c r="C5" s="58" t="n">
        <x:f>Supuestos!$D$5*Supuestos!$D$6*12*(1+Supuestos!$D$7)^(1-1)</x:f>
        <x:v>7200</x:v>
      </x:c>
      <x:c r="D5" s="58" t="n">
        <x:f>Supuestos!$D$5*Supuestos!$D$6*12*(1+Supuestos!$D$7)^(2-1)</x:f>
        <x:v>8064.000000000001</x:v>
      </x:c>
      <x:c r="E5" s="58" t="n">
        <x:f>Supuestos!$D$5*Supuestos!$D$6*12*(1+Supuestos!$D$7)^(3-1)</x:f>
        <x:v>9031.680000000002</x:v>
      </x:c>
      <x:c r="F5" s="82"/>
      <x:c r="G5" s="2"/>
    </x:row>
    <x:row r="6" ht="20" customHeight="1">
      <x:c r="A6" s="2" t="str">
        <x:v>Cobertura operativa del producto</x:v>
      </x:c>
      <x:c r="B6" s="35"/>
      <x:c r="C6" s="59" t="n">
        <x:f>Supuestos!$D$8</x:f>
        <x:v>0.6</x:v>
      </x:c>
      <x:c r="D6" s="59" t="n">
        <x:f>Supuestos!$D$9</x:f>
        <x:v>0.9</x:v>
      </x:c>
      <x:c r="E6" s="59" t="n">
        <x:f>Supuestos!$D$10</x:f>
        <x:v>1</x:v>
      </x:c>
      <x:c r="F6" s="82"/>
      <x:c r="G6" s="2"/>
    </x:row>
    <x:row r="7" ht="20" customHeight="1">
      <x:c r="A7" s="2" t="str">
        <x:v>Entregas incorporadas (cohorte)</x:v>
      </x:c>
      <x:c r="B7" s="35"/>
      <x:c r="C7" s="60" t="n">
        <x:f>C5*C6</x:f>
        <x:v>4320</x:v>
      </x:c>
      <x:c r="D7" s="60" t="n">
        <x:f>D5*D6</x:f>
        <x:v>7257.600000000001</x:v>
      </x:c>
      <x:c r="E7" s="60" t="n">
        <x:f>E5*E6</x:f>
        <x:v>9031.680000000002</x:v>
      </x:c>
      <x:c r="F7" s="82"/>
      <x:c r="G7" s="2"/>
    </x:row>
    <x:row r="8" ht="20" customHeight="1">
      <x:c r="A8" s="2" t="str">
        <x:v>% servicio exigible en 180 días</x:v>
      </x:c>
      <x:c r="B8" s="35"/>
      <x:c r="C8" s="59" t="n">
        <x:f>Supuestos!$D$11</x:f>
        <x:v>0.72</x:v>
      </x:c>
      <x:c r="D8" s="59" t="n">
        <x:f>Supuestos!$D$11</x:f>
        <x:v>0.72</x:v>
      </x:c>
      <x:c r="E8" s="59" t="n">
        <x:f>Supuestos!$D$11</x:f>
        <x:v>0.72</x:v>
      </x:c>
      <x:c r="F8" s="82"/>
      <x:c r="G8" s="2"/>
    </x:row>
    <x:row r="9" ht="20" customHeight="1">
      <x:c r="A9" s="2" t="str">
        <x:v>Entregas con necesidad de servicio</x:v>
      </x:c>
      <x:c r="B9" s="35"/>
      <x:c r="C9" s="60" t="n">
        <x:f>C7*C8</x:f>
        <x:v>3110.4</x:v>
      </x:c>
      <x:c r="D9" s="60" t="n">
        <x:f>D7*D8</x:f>
        <x:v>5225.472000000001</x:v>
      </x:c>
      <x:c r="E9" s="60" t="n">
        <x:f>E7*E8</x:f>
        <x:v>6502.809600000001</x:v>
      </x:c>
      <x:c r="F9" s="82"/>
      <x:c r="G9" s="2"/>
    </x:row>
    <x:row r="10" ht="20" customHeight="1">
      <x:c r="A10" s="2" t="str">
        <x:v>% plan/historial suficiente</x:v>
      </x:c>
      <x:c r="B10" s="35"/>
      <x:c r="C10" s="59" t="n">
        <x:f>Supuestos!$D$12</x:f>
        <x:v>0.9</x:v>
      </x:c>
      <x:c r="D10" s="59" t="n">
        <x:f>Supuestos!$D$12</x:f>
        <x:v>0.9</x:v>
      </x:c>
      <x:c r="E10" s="59" t="n">
        <x:f>Supuestos!$D$12</x:f>
        <x:v>0.9</x:v>
      </x:c>
      <x:c r="F10" s="82"/>
      <x:c r="G10" s="2"/>
    </x:row>
    <x:row r="11" ht="20" customHeight="1">
      <x:c r="A11" s="2" t="str">
        <x:v>Entregas técnicamente accionables</x:v>
      </x:c>
      <x:c r="B11" s="35"/>
      <x:c r="C11" s="60" t="n">
        <x:f>C9*C10</x:f>
        <x:v>2799.36</x:v>
      </x:c>
      <x:c r="D11" s="60" t="n">
        <x:f>D9*D10</x:f>
        <x:v>4702.924800000001</x:v>
      </x:c>
      <x:c r="E11" s="60" t="n">
        <x:f>E9*E10</x:f>
        <x:v>5852.528640000001</x:v>
      </x:c>
      <x:c r="F11" s="82"/>
      <x:c r="G11" s="2"/>
    </x:row>
    <x:row r="12" ht="20" customHeight="1">
      <x:c r="A12" s="2" t="str">
        <x:v>% consentimiento válido</x:v>
      </x:c>
      <x:c r="B12" s="35"/>
      <x:c r="C12" s="59" t="n">
        <x:f>Supuestos!$D$13</x:f>
        <x:v>0.8</x:v>
      </x:c>
      <x:c r="D12" s="59" t="n">
        <x:f>Supuestos!$D$13</x:f>
        <x:v>0.8</x:v>
      </x:c>
      <x:c r="E12" s="59" t="n">
        <x:f>Supuestos!$D$13</x:f>
        <x:v>0.8</x:v>
      </x:c>
      <x:c r="F12" s="82"/>
      <x:c r="G12" s="2"/>
    </x:row>
    <x:row r="13" ht="20" customHeight="1">
      <x:c r="A13" s="2" t="str">
        <x:v>% contactabilidad</x:v>
      </x:c>
      <x:c r="B13" s="35"/>
      <x:c r="C13" s="59" t="n">
        <x:f>Supuestos!$D$14</x:f>
        <x:v>0.95</x:v>
      </x:c>
      <x:c r="D13" s="59" t="n">
        <x:f>Supuestos!$D$14</x:f>
        <x:v>0.95</x:v>
      </x:c>
      <x:c r="E13" s="59" t="n">
        <x:f>Supuestos!$D$14</x:f>
        <x:v>0.95</x:v>
      </x:c>
      <x:c r="F13" s="82"/>
      <x:c r="G13" s="2"/>
    </x:row>
    <x:row r="14" ht="20" customHeight="1">
      <x:c r="A14" s="2" t="str">
        <x:v>Clientes contactables de esa cohorte</x:v>
      </x:c>
      <x:c r="B14" s="35"/>
      <x:c r="C14" s="60" t="n">
        <x:f>C11*C12*C13</x:f>
        <x:v>2127.5136</x:v>
      </x:c>
      <x:c r="D14" s="60" t="n">
        <x:f>D11*D12*D13</x:f>
        <x:v>3574.2228480000003</x:v>
      </x:c>
      <x:c r="E14" s="60" t="n">
        <x:f>E11*E12*E13</x:f>
        <x:v>4447.921766400001</x:v>
      </x:c>
      <x:c r="F14" s="82" t="str">
        <x:v>Elegible de la cohorte; contacto ocurre según vencimiento</x:v>
      </x:c>
      <x:c r="G14" s="2"/>
    </x:row>
    <x:row r="15" ht="20" customHeight="1">
      <x:c r="A15" s="2" t="str">
        <x:v>% oportunidad misma anualidad</x:v>
      </x:c>
      <x:c r="B15" s="35"/>
      <x:c r="C15" s="59" t="n">
        <x:f>Supuestos!$D$15</x:f>
        <x:v>0.75</x:v>
      </x:c>
      <x:c r="D15" s="59" t="n">
        <x:f>Supuestos!$D$15</x:f>
        <x:v>0.75</x:v>
      </x:c>
      <x:c r="E15" s="59" t="n">
        <x:f>Supuestos!$D$15</x:f>
        <x:v>0.75</x:v>
      </x:c>
      <x:c r="F15" s="82"/>
      <x:c r="G15" s="2"/>
    </x:row>
    <x:row r="16" ht="20" customHeight="1">
      <x:c r="A16" s="2" t="str">
        <x:v>Oportunidades de la cohorte actual</x:v>
      </x:c>
      <x:c r="B16" s="35"/>
      <x:c r="C16" s="60" t="n">
        <x:f>C14*C15</x:f>
        <x:v>1595.6352000000002</x:v>
      </x:c>
      <x:c r="D16" s="60" t="n">
        <x:f>D14*D15</x:f>
        <x:v>2680.667136</x:v>
      </x:c>
      <x:c r="E16" s="60" t="n">
        <x:f>E14*E15</x:f>
        <x:v>3335.9413248000005</x:v>
      </x:c>
      <x:c r="F16" s="82"/>
      <x:c r="G16" s="2"/>
    </x:row>
    <x:row r="17" ht="20" customHeight="1">
      <x:c r="A17" s="2" t="str">
        <x:v>Arrastre de cohorte anterior</x:v>
      </x:c>
      <x:c r="B17" s="35"/>
      <x:c r="C17" s="60" t="n">
        <x:f>0</x:f>
        <x:v>0</x:v>
      </x:c>
      <x:c r="D17" s="60" t="n">
        <x:f>C14*(1-C15)</x:f>
        <x:v>531.8784</x:v>
      </x:c>
      <x:c r="E17" s="60" t="n">
        <x:f>D14*(1-D15)</x:f>
        <x:v>893.5557120000001</x:v>
      </x:c>
      <x:c r="F17" s="82" t="str">
        <x:v>Solo arrastre del año previo: sin doble conteo</x:v>
      </x:c>
      <x:c r="G17" s="2"/>
    </x:row>
    <x:row r="18" ht="20" customHeight="1">
      <x:c r="A18" s="2" t="str">
        <x:v>Oportunidades atendibles año (clientes)</x:v>
      </x:c>
      <x:c r="B18" s="35"/>
      <x:c r="C18" s="60" t="n">
        <x:f>SUM(C16:C17)</x:f>
        <x:v>1595.6352000000002</x:v>
      </x:c>
      <x:c r="D18" s="60" t="n">
        <x:f>SUM(D16:D17)</x:f>
        <x:v>3212.545536</x:v>
      </x:c>
      <x:c r="E18" s="60" t="n">
        <x:f>SUM(E16:E17)</x:f>
        <x:v>4229.4970368</x:v>
      </x:c>
      <x:c r="F18" s="82" t="str">
        <x:v>Denominador común control/tratamiento</x:v>
      </x:c>
      <x:c r="G18" s="2"/>
    </x:row>
    <x:row r="19" ht="20" customHeight="1">
      <x:c r="A19" s="50" t="str">
        <x:v>Tasa servicio completado - control</x:v>
      </x:c>
      <x:c r="B19" s="56"/>
      <x:c r="C19" s="61" t="n">
        <x:f>Supuestos!$D$16</x:f>
        <x:v>0.22</x:v>
      </x:c>
      <x:c r="D19" s="61" t="n">
        <x:f>Supuestos!$D$16</x:f>
        <x:v>0.22</x:v>
      </x:c>
      <x:c r="E19" s="61" t="n">
        <x:f>Supuestos!$D$16</x:f>
        <x:v>0.22</x:v>
      </x:c>
      <x:c r="F19" s="82"/>
      <x:c r="G19" s="2"/>
    </x:row>
    <x:row r="20" ht="20" customHeight="1">
      <x:c r="A20" s="2" t="str">
        <x:v>Tasa servicio completado - producto</x:v>
      </x:c>
      <x:c r="B20" s="35"/>
      <x:c r="C20" s="59" t="n">
        <x:f>Supuestos!$D$17</x:f>
        <x:v>0.6</x:v>
      </x:c>
      <x:c r="D20" s="59" t="n">
        <x:f>Supuestos!$D$17</x:f>
        <x:v>0.6</x:v>
      </x:c>
      <x:c r="E20" s="59" t="n">
        <x:f>Supuestos!$D$17</x:f>
        <x:v>0.6</x:v>
      </x:c>
      <x:c r="F20" s="82"/>
      <x:c r="G20" s="2"/>
    </x:row>
    <x:row r="21" ht="20" customHeight="1">
      <x:c r="A21" s="2" t="str">
        <x:v>Servicios del control estimados</x:v>
      </x:c>
      <x:c r="B21" s="35"/>
      <x:c r="C21" s="60" t="n">
        <x:f>C18*C19</x:f>
        <x:v>351.03974400000004</x:v>
      </x:c>
      <x:c r="D21" s="60" t="n">
        <x:f>D18*D19</x:f>
        <x:v>706.76001792</x:v>
      </x:c>
      <x:c r="E21" s="60" t="n">
        <x:f>E18*E19</x:f>
        <x:v>930.4893480960001</x:v>
      </x:c>
      <x:c r="F21" s="82"/>
      <x:c r="G21" s="2"/>
    </x:row>
    <x:row r="22" ht="20" customHeight="1">
      <x:c r="A22" s="2" t="str">
        <x:v>Servicios del tratamiento estimados</x:v>
      </x:c>
      <x:c r="B22" s="35"/>
      <x:c r="C22" s="60" t="n">
        <x:f>C18*C20</x:f>
        <x:v>957.38112</x:v>
      </x:c>
      <x:c r="D22" s="60" t="n">
        <x:f>D18*D20</x:f>
        <x:v>1927.5273216</x:v>
      </x:c>
      <x:c r="E22" s="60" t="n">
        <x:f>E18*E20</x:f>
        <x:v>2537.69822208</x:v>
      </x:c>
      <x:c r="F22" s="82"/>
      <x:c r="G22" s="2"/>
    </x:row>
    <x:row r="23" ht="20" customHeight="1">
      <x:c r="A23" s="2" t="str">
        <x:v>Servicios incrementales posibles</x:v>
      </x:c>
      <x:c r="B23" s="35"/>
      <x:c r="C23" s="60" t="n">
        <x:f>MAX(0,C22-C21)</x:f>
        <x:v>606.341376</x:v>
      </x:c>
      <x:c r="D23" s="60" t="n">
        <x:f>MAX(0,D22-D21)</x:f>
        <x:v>1220.7673036800002</x:v>
      </x:c>
      <x:c r="E23" s="60" t="n">
        <x:f>MAX(0,E22-E21)</x:f>
        <x:v>1607.208873984</x:v>
      </x:c>
      <x:c r="F23" s="82"/>
      <x:c r="G23" s="2"/>
    </x:row>
    <x:row r="24" ht="20" customHeight="1">
      <x:c r="A24" s="2" t="str">
        <x:v>Cupos incrementales / sede / mes</x:v>
      </x:c>
      <x:c r="B24" s="35"/>
      <x:c r="C24" s="60" t="n">
        <x:f>Supuestos!$D$20</x:f>
        <x:v>30</x:v>
      </x:c>
      <x:c r="D24" s="60" t="n">
        <x:f>Supuestos!$D$20</x:f>
        <x:v>30</x:v>
      </x:c>
      <x:c r="E24" s="60" t="n">
        <x:f>Supuestos!$D$20</x:f>
        <x:v>30</x:v>
      </x:c>
      <x:c r="F24" s="82"/>
      <x:c r="G24" s="2"/>
    </x:row>
    <x:row r="25" ht="20" customHeight="1">
      <x:c r="A25" s="2" t="str">
        <x:v>Capacidad real de servicio adicional</x:v>
      </x:c>
      <x:c r="B25" s="35"/>
      <x:c r="C25" s="60" t="n">
        <x:f>Supuestos!$D$5*C24*12*C6</x:f>
        <x:v>1728</x:v>
      </x:c>
      <x:c r="D25" s="60" t="n">
        <x:f>Supuestos!$D$5*D24*12*D6</x:f>
        <x:v>2592</x:v>
      </x:c>
      <x:c r="E25" s="60" t="n">
        <x:f>Supuestos!$D$5*E24*12*E6</x:f>
        <x:v>2880</x:v>
      </x:c>
      <x:c r="F25" s="82"/>
      <x:c r="G25" s="2"/>
    </x:row>
    <x:row r="26" ht="20" customHeight="1">
      <x:c r="A26" s="44" t="str">
        <x:v>SERVICIOS INCREMENTALES CAPTURADOS</x:v>
      </x:c>
      <x:c r="B26" s="45"/>
      <x:c r="C26" s="68" t="n">
        <x:f>MIN(C23,C25)</x:f>
        <x:v>606.341376</x:v>
      </x:c>
      <x:c r="D26" s="68" t="n">
        <x:f>MIN(D23,D25)</x:f>
        <x:v>1220.7673036800002</x:v>
      </x:c>
      <x:c r="E26" s="68" t="n">
        <x:f>MIN(E23,E25)</x:f>
        <x:v>1607.208873984</x:v>
      </x:c>
      <x:c r="F26" s="82" t="str">
        <x:v>Limitado por cupos; no desplaza OT normales</x:v>
      </x:c>
      <x:c r="G26" s="2"/>
    </x:row>
    <x:row r="27" ht="20" customHeight="1">
      <x:c r="A27" s="2" t="str">
        <x:v>Servicios incrementales perdidos por cupos</x:v>
      </x:c>
      <x:c r="B27" s="35"/>
      <x:c r="C27" s="60" t="n">
        <x:f>MAX(0,C23-C26)</x:f>
        <x:v>0</x:v>
      </x:c>
      <x:c r="D27" s="60" t="n">
        <x:f>MAX(0,D23-D26)</x:f>
        <x:v>0</x:v>
      </x:c>
      <x:c r="E27" s="60" t="n">
        <x:f>MAX(0,E23-E26)</x:f>
        <x:v>0</x:v>
      </x:c>
      <x:c r="F27" s="82"/>
      <x:c r="G27" s="2"/>
    </x:row>
    <x:row r="28" ht="20" customHeight="1">
      <x:c r="A28" s="2"/>
      <x:c r="B28" s="35"/>
      <x:c r="C28" s="60"/>
      <x:c r="D28" s="60"/>
      <x:c r="E28" s="60"/>
      <x:c r="F28" s="82"/>
      <x:c r="G28" s="2"/>
    </x:row>
    <x:row r="29" ht="20" customHeight="1">
      <x:c r="A29" s="50" t="str">
        <x:v>Ticket neto por OT (COP)</x:v>
      </x:c>
      <x:c r="B29" s="56"/>
      <x:c r="C29" s="58" t="n">
        <x:f>Supuestos!$D$18</x:f>
        <x:v>560000</x:v>
      </x:c>
      <x:c r="D29" s="58" t="n">
        <x:f>Supuestos!$D$18</x:f>
        <x:v>560000</x:v>
      </x:c>
      <x:c r="E29" s="58" t="n">
        <x:f>Supuestos!$D$18</x:f>
        <x:v>560000</x:v>
      </x:c>
      <x:c r="F29" s="82" t="str">
        <x:v>Factura neta IVA, no importe bruto</x:v>
      </x:c>
      <x:c r="G29" s="2"/>
    </x:row>
    <x:row r="30" ht="20" customHeight="1">
      <x:c r="A30" s="2" t="str">
        <x:v>Ingreso incremental taller (COP)</x:v>
      </x:c>
      <x:c r="B30" s="35"/>
      <x:c r="C30" s="60" t="n">
        <x:f>C26*C29</x:f>
        <x:v>339551170.56</x:v>
      </x:c>
      <x:c r="D30" s="60" t="n">
        <x:f>D26*D29</x:f>
        <x:v>683629690.0608001</x:v>
      </x:c>
      <x:c r="E30" s="60" t="n">
        <x:f>E26*E29</x:f>
        <x:v>900036969.43104</x:v>
      </x:c>
      <x:c r="F30" s="82"/>
      <x:c r="G30" s="2"/>
    </x:row>
    <x:row r="31" ht="20" customHeight="1">
      <x:c r="A31" s="2" t="str">
        <x:v>Margen de contribución variable</x:v>
      </x:c>
      <x:c r="B31" s="35"/>
      <x:c r="C31" s="59" t="n">
        <x:f>Supuestos!$D$19</x:f>
        <x:v>0.42</x:v>
      </x:c>
      <x:c r="D31" s="59" t="n">
        <x:f>Supuestos!$D$19</x:f>
        <x:v>0.42</x:v>
      </x:c>
      <x:c r="E31" s="59" t="n">
        <x:f>Supuestos!$D$19</x:f>
        <x:v>0.42</x:v>
      </x:c>
      <x:c r="F31" s="82"/>
      <x:c r="G31" s="2"/>
    </x:row>
    <x:row r="32" ht="20" customHeight="1">
      <x:c r="A32" s="44" t="str">
        <x:v>CONTRIBUCIÓN INCREMENTAL TALLER (COP)</x:v>
      </x:c>
      <x:c r="B32" s="45"/>
      <x:c r="C32" s="68" t="n">
        <x:f>C30*C31</x:f>
        <x:v>142611491.6352</x:v>
      </x:c>
      <x:c r="D32" s="68" t="n">
        <x:f>D30*D31</x:f>
        <x:v>287124469.825536</x:v>
      </x:c>
      <x:c r="E32" s="68" t="n">
        <x:f>E30*E31</x:f>
        <x:v>378015527.1610368</x:v>
      </x:c>
      <x:c r="F32" s="82"/>
      <x:c r="G32" s="2"/>
    </x:row>
    <x:row r="33" ht="20" customHeight="1">
      <x:c r="A33" s="2"/>
      <x:c r="B33" s="35"/>
      <x:c r="C33" s="60"/>
      <x:c r="D33" s="60"/>
      <x:c r="E33" s="60"/>
      <x:c r="F33" s="82"/>
      <x:c r="G33" s="2"/>
    </x:row>
    <x:row r="34" ht="20" customHeight="1">
      <x:c r="A34" s="50" t="str">
        <x:v>% contactos que abren chat IA</x:v>
      </x:c>
      <x:c r="B34" s="56"/>
      <x:c r="C34" s="61" t="n">
        <x:f>Supuestos!$D$21</x:f>
        <x:v>0.75</x:v>
      </x:c>
      <x:c r="D34" s="61" t="n">
        <x:f>Supuestos!$D$21</x:f>
        <x:v>0.75</x:v>
      </x:c>
      <x:c r="E34" s="61" t="n">
        <x:f>Supuestos!$D$21</x:f>
        <x:v>0.75</x:v>
      </x:c>
      <x:c r="F34" s="82"/>
      <x:c r="G34" s="2"/>
    </x:row>
    <x:row r="35" ht="20" customHeight="1">
      <x:c r="A35" s="2" t="str">
        <x:v>Contactos elegibles en el ejercicio</x:v>
      </x:c>
      <x:c r="B35" s="35"/>
      <x:c r="C35" s="60" t="n">
        <x:f>C18</x:f>
        <x:v>1595.6352000000002</x:v>
      </x:c>
      <x:c r="D35" s="60" t="n">
        <x:f>D18</x:f>
        <x:v>3212.545536</x:v>
      </x:c>
      <x:c r="E35" s="60" t="n">
        <x:f>E18</x:f>
        <x:v>4229.4970368</x:v>
      </x:c>
      <x:c r="F35" s="82"/>
      <x:c r="G35" s="2"/>
    </x:row>
    <x:row r="36" ht="20" customHeight="1">
      <x:c r="A36" s="2" t="str">
        <x:v>Conversaciones con IA</x:v>
      </x:c>
      <x:c r="B36" s="35"/>
      <x:c r="C36" s="60" t="n">
        <x:f>C35*C34</x:f>
        <x:v>1196.7264</x:v>
      </x:c>
      <x:c r="D36" s="60" t="n">
        <x:f>D35*D34</x:f>
        <x:v>2409.409152</x:v>
      </x:c>
      <x:c r="E36" s="60" t="n">
        <x:f>E35*E34</x:f>
        <x:v>3172.1227776000005</x:v>
      </x:c>
      <x:c r="F36" s="82"/>
      <x:c r="G36" s="2"/>
    </x:row>
    <x:row r="37" ht="20" customHeight="1">
      <x:c r="A37" s="2" t="str">
        <x:v>Costo IA por conversación (COP)</x:v>
      </x:c>
      <x:c r="B37" s="35"/>
      <x:c r="C37" s="60" t="n">
        <x:f>Costos!$B$30*Supuestos!$D$27</x:f>
        <x:v>624.0000000000002</x:v>
      </x:c>
      <x:c r="D37" s="60" t="n">
        <x:f>Costos!$B$30*Supuestos!$D$27</x:f>
        <x:v>624.0000000000002</x:v>
      </x:c>
      <x:c r="E37" s="60" t="n">
        <x:f>Costos!$B$30*Supuestos!$D$27</x:f>
        <x:v>624.0000000000002</x:v>
      </x:c>
      <x:c r="F37" s="82" t="str">
        <x:v>Tarifa token real + consumo supuesto</x:v>
      </x:c>
      <x:c r="G37" s="2"/>
    </x:row>
    <x:row r="38" ht="20" customHeight="1">
      <x:c r="A38" s="2" t="str">
        <x:v>Costo variable IA (COP)</x:v>
      </x:c>
      <x:c r="B38" s="35"/>
      <x:c r="C38" s="60" t="n">
        <x:f>C36*C37</x:f>
        <x:v>746757.2736000003</x:v>
      </x:c>
      <x:c r="D38" s="60" t="n">
        <x:f>D36*D37</x:f>
        <x:v>1503471.3108480007</x:v>
      </x:c>
      <x:c r="E38" s="60" t="n">
        <x:f>E36*E37</x:f>
        <x:v>1979404.6132224011</x:v>
      </x:c>
      <x:c r="F38" s="82"/>
      <x:c r="G38" s="2"/>
    </x:row>
    <x:row r="39" ht="20" customHeight="1">
      <x:c r="A39" s="2" t="str">
        <x:v>Mensajes entregados / contacto</x:v>
      </x:c>
      <x:c r="B39" s="35"/>
      <x:c r="C39" s="60" t="n">
        <x:f>Supuestos!$D$22</x:f>
        <x:v>2</x:v>
      </x:c>
      <x:c r="D39" s="60" t="n">
        <x:f>Supuestos!$D$22</x:f>
        <x:v>2</x:v>
      </x:c>
      <x:c r="E39" s="60" t="n">
        <x:f>Supuestos!$D$22</x:f>
        <x:v>2</x:v>
      </x:c>
      <x:c r="F39" s="82"/>
      <x:c r="G39" s="2"/>
    </x:row>
    <x:row r="40" ht="20" customHeight="1">
      <x:c r="A40" s="2" t="str">
        <x:v>Tarifa por mensaje (COP)</x:v>
      </x:c>
      <x:c r="B40" s="35"/>
      <x:c r="C40" s="60" t="n">
        <x:f>Supuestos!$D$24</x:f>
        <x:v>45</x:v>
      </x:c>
      <x:c r="D40" s="60" t="n">
        <x:f>Supuestos!$D$24</x:f>
        <x:v>45</x:v>
      </x:c>
      <x:c r="E40" s="60" t="n">
        <x:f>Supuestos!$D$24</x:f>
        <x:v>45</x:v>
      </x:c>
      <x:c r="F40" s="82"/>
      <x:c r="G40" s="2"/>
    </x:row>
    <x:row r="41" ht="20" customHeight="1">
      <x:c r="A41" s="2" t="str">
        <x:v>Fee canal/BSP por contacto (COP)</x:v>
      </x:c>
      <x:c r="B41" s="35"/>
      <x:c r="C41" s="60" t="n">
        <x:f>Supuestos!$D$23</x:f>
        <x:v>90</x:v>
      </x:c>
      <x:c r="D41" s="60" t="n">
        <x:f>Supuestos!$D$23</x:f>
        <x:v>90</x:v>
      </x:c>
      <x:c r="E41" s="60" t="n">
        <x:f>Supuestos!$D$23</x:f>
        <x:v>90</x:v>
      </x:c>
      <x:c r="F41" s="82"/>
      <x:c r="G41" s="2"/>
    </x:row>
    <x:row r="42" ht="20" customHeight="1">
      <x:c r="A42" s="2" t="str">
        <x:v>Costo comunicaciones (COP)</x:v>
      </x:c>
      <x:c r="B42" s="35"/>
      <x:c r="C42" s="60" t="n">
        <x:f>C35*(C39*C40+C41)</x:f>
        <x:v>287214.336</x:v>
      </x:c>
      <x:c r="D42" s="60" t="n">
        <x:f>D35*(D39*D40+D41)</x:f>
        <x:v>578258.19648</x:v>
      </x:c>
      <x:c r="E42" s="60" t="n">
        <x:f>E35*(E39*E40+E41)</x:f>
        <x:v>761309.4666240001</x:v>
      </x:c>
      <x:c r="F42" s="82"/>
      <x:c r="G42" s="2"/>
    </x:row>
    <x:row r="43" ht="20" customHeight="1">
      <x:c r="A43" s="2" t="str">
        <x:v>Derivaciones sobre conversaciones</x:v>
      </x:c>
      <x:c r="B43" s="35"/>
      <x:c r="C43" s="59" t="n">
        <x:f>Supuestos!$D$25</x:f>
        <x:v>0.08</x:v>
      </x:c>
      <x:c r="D43" s="59" t="n">
        <x:f>Supuestos!$D$25</x:f>
        <x:v>0.08</x:v>
      </x:c>
      <x:c r="E43" s="59" t="n">
        <x:f>Supuestos!$D$25</x:f>
        <x:v>0.08</x:v>
      </x:c>
      <x:c r="F43" s="82"/>
      <x:c r="G43" s="2"/>
    </x:row>
    <x:row r="44" ht="20" customHeight="1">
      <x:c r="A44" s="2" t="str">
        <x:v>Costo marginal de derivación (COP)</x:v>
      </x:c>
      <x:c r="B44" s="35"/>
      <x:c r="C44" s="60" t="n">
        <x:f>Supuestos!$D$26</x:f>
        <x:v>10000</x:v>
      </x:c>
      <x:c r="D44" s="60" t="n">
        <x:f>Supuestos!$D$26</x:f>
        <x:v>10000</x:v>
      </x:c>
      <x:c r="E44" s="60" t="n">
        <x:f>Supuestos!$D$26</x:f>
        <x:v>10000</x:v>
      </x:c>
      <x:c r="F44" s="82"/>
      <x:c r="G44" s="2"/>
    </x:row>
    <x:row r="45" ht="20" customHeight="1">
      <x:c r="A45" s="2" t="str">
        <x:v>Costo operativo derivaciones (COP)</x:v>
      </x:c>
      <x:c r="B45" s="35"/>
      <x:c r="C45" s="60" t="n">
        <x:f>C36*C43*C44</x:f>
        <x:v>957381.12</x:v>
      </x:c>
      <x:c r="D45" s="60" t="n">
        <x:f>D36*D43*D44</x:f>
        <x:v>1927527.3216000001</x:v>
      </x:c>
      <x:c r="E45" s="60" t="n">
        <x:f>E36*E43*E44</x:f>
        <x:v>2537698.2220800007</x:v>
      </x:c>
      <x:c r="F45" s="82"/>
      <x:c r="G45" s="2"/>
    </x:row>
    <x:row r="46" ht="20" customHeight="1">
      <x:c r="A46" s="2" t="str">
        <x:v>Minutos liberados / chat</x:v>
      </x:c>
      <x:c r="B46" s="35"/>
      <x:c r="C46" s="60" t="n">
        <x:f>Supuestos!$D$32</x:f>
        <x:v>5</x:v>
      </x:c>
      <x:c r="D46" s="60" t="n">
        <x:f>Supuestos!$D$32</x:f>
        <x:v>5</x:v>
      </x:c>
      <x:c r="E46" s="60" t="n">
        <x:f>Supuestos!$D$32</x:f>
        <x:v>5</x:v>
      </x:c>
      <x:c r="F46" s="82"/>
      <x:c r="G46" s="2"/>
    </x:row>
    <x:row r="47" ht="20" customHeight="1">
      <x:c r="A47" s="2" t="str">
        <x:v>Costo personal por hora (COP)</x:v>
      </x:c>
      <x:c r="B47" s="35"/>
      <x:c r="C47" s="60" t="n">
        <x:f>Supuestos!$D$33</x:f>
        <x:v>35000</x:v>
      </x:c>
      <x:c r="D47" s="60" t="n">
        <x:f>Supuestos!$D$33</x:f>
        <x:v>35000</x:v>
      </x:c>
      <x:c r="E47" s="60" t="n">
        <x:f>Supuestos!$D$33</x:f>
        <x:v>35000</x:v>
      </x:c>
      <x:c r="F47" s="82"/>
      <x:c r="G47" s="2"/>
    </x:row>
    <x:row r="48" ht="20" customHeight="1">
      <x:c r="A48" s="2" t="str">
        <x:v>Fracción de eficiencia monetizable</x:v>
      </x:c>
      <x:c r="B48" s="35"/>
      <x:c r="C48" s="59" t="n">
        <x:f>Supuestos!$D$31</x:f>
        <x:v>0</x:v>
      </x:c>
      <x:c r="D48" s="59" t="n">
        <x:f>Supuestos!$D$31</x:f>
        <x:v>0</x:v>
      </x:c>
      <x:c r="E48" s="59" t="n">
        <x:f>Supuestos!$D$31</x:f>
        <x:v>0</x:v>
      </x:c>
      <x:c r="F48" s="82"/>
      <x:c r="G48" s="2"/>
    </x:row>
    <x:row r="49" ht="20" customHeight="1">
      <x:c r="A49" s="2" t="str">
        <x:v>Valor económico eficiencia (COP)</x:v>
      </x:c>
      <x:c r="B49" s="35"/>
      <x:c r="C49" s="60" t="n">
        <x:f>C36*C46/60*C47*C48</x:f>
        <x:v>0</x:v>
      </x:c>
      <x:c r="D49" s="60" t="n">
        <x:f>D36*D46/60*D47*D48</x:f>
        <x:v>0</x:v>
      </x:c>
      <x:c r="E49" s="60" t="n">
        <x:f>E36*E46/60*E47*E48</x:f>
        <x:v>0</x:v>
      </x:c>
      <x:c r="F49" s="82" t="str">
        <x:v>Por defecto 0: no monetizar ahorro sin evidencia</x:v>
      </x:c>
      <x:c r="G49" s="2"/>
    </x:row>
    <x:row r="50" ht="20" customHeight="1">
      <x:c r="A50" s="2"/>
      <x:c r="B50" s="35"/>
      <x:c r="C50" s="60"/>
      <x:c r="D50" s="60"/>
      <x:c r="E50" s="60"/>
      <x:c r="F50" s="82"/>
      <x:c r="G50" s="2"/>
    </x:row>
    <x:row r="51" ht="20" customHeight="1">
      <x:c r="A51" s="50" t="str">
        <x:v>Gasto tecnología fijo anual (COP)</x:v>
      </x:c>
      <x:c r="B51" s="56"/>
      <x:c r="C51" s="58" t="n">
        <x:f>Costos!$B$16*Supuestos!$D$29</x:f>
        <x:v>38400000</x:v>
      </x:c>
      <x:c r="D51" s="58" t="n">
        <x:f>Costos!$B$16*Supuestos!$D$29</x:f>
        <x:v>38400000</x:v>
      </x:c>
      <x:c r="E51" s="58" t="n">
        <x:f>Costos!$B$16*Supuestos!$D$29</x:f>
        <x:v>38400000</x:v>
      </x:c>
      <x:c r="F51" s="82"/>
      <x:c r="G51" s="2"/>
    </x:row>
    <x:row r="52" ht="20" customHeight="1">
      <x:c r="A52" s="2" t="str">
        <x:v>Gobernanza + soporte anual (COP)</x:v>
      </x:c>
      <x:c r="B52" s="35"/>
      <x:c r="C52" s="60" t="n">
        <x:f>Costos!$B$21*Supuestos!$D$30</x:f>
        <x:v>18000000</x:v>
      </x:c>
      <x:c r="D52" s="60" t="n">
        <x:f>Costos!$B$21*Supuestos!$D$30</x:f>
        <x:v>18000000</x:v>
      </x:c>
      <x:c r="E52" s="60" t="n">
        <x:f>Costos!$B$21*Supuestos!$D$30</x:f>
        <x:v>18000000</x:v>
      </x:c>
      <x:c r="F52" s="82"/>
      <x:c r="G52" s="2"/>
    </x:row>
    <x:row r="53" ht="20" customHeight="1">
      <x:c r="A53" s="44" t="str">
        <x:v>BENEFICIO BRUTO INCREMENTAL (COP)</x:v>
      </x:c>
      <x:c r="B53" s="45"/>
      <x:c r="C53" s="68" t="n">
        <x:f>SUM(C32,C49)</x:f>
        <x:v>142611491.6352</x:v>
      </x:c>
      <x:c r="D53" s="68" t="n">
        <x:f>SUM(D32,D49)</x:f>
        <x:v>287124469.825536</x:v>
      </x:c>
      <x:c r="E53" s="68" t="n">
        <x:f>SUM(E32,E49)</x:f>
        <x:v>378015527.1610368</x:v>
      </x:c>
      <x:c r="F53" s="82"/>
      <x:c r="G53" s="2"/>
    </x:row>
    <x:row r="54" ht="20" customHeight="1">
      <x:c r="A54" s="44" t="str">
        <x:v>COSTOS VARIABLES INCREMENTALES (COP)</x:v>
      </x:c>
      <x:c r="B54" s="45"/>
      <x:c r="C54" s="68" t="n">
        <x:f>SUM(C38,C42,C45)</x:f>
        <x:v>1991352.7296000002</x:v>
      </x:c>
      <x:c r="D54" s="68" t="n">
        <x:f>SUM(D38,D42,D45)</x:f>
        <x:v>4009256.828928001</x:v>
      </x:c>
      <x:c r="E54" s="68" t="n">
        <x:f>SUM(E38,E42,E45)</x:f>
        <x:v>5278412.301926402</x:v>
      </x:c>
      <x:c r="F54" s="82"/>
      <x:c r="G54" s="2"/>
    </x:row>
    <x:row r="55" ht="20" customHeight="1">
      <x:c r="A55" s="44" t="str">
        <x:v>COSTOS FIJOS ANUALES (COP)</x:v>
      </x:c>
      <x:c r="B55" s="45"/>
      <x:c r="C55" s="68" t="n">
        <x:f>SUM(C51:C52)</x:f>
        <x:v>56400000</x:v>
      </x:c>
      <x:c r="D55" s="68" t="n">
        <x:f>SUM(D51:D52)</x:f>
        <x:v>56400000</x:v>
      </x:c>
      <x:c r="E55" s="68" t="n">
        <x:f>SUM(E51:E52)</x:f>
        <x:v>56400000</x:v>
      </x:c>
      <x:c r="F55" s="82"/>
      <x:c r="G55" s="2"/>
    </x:row>
    <x:row r="56" ht="20" customHeight="1">
      <x:c r="A56" s="76" t="str">
        <x:v>FLUJO OPERATIVO NETO (COP)</x:v>
      </x:c>
      <x:c r="B56" s="77"/>
      <x:c r="C56" s="78" t="n">
        <x:f>C53-C54-C55</x:f>
        <x:v>84220138.90559998</x:v>
      </x:c>
      <x:c r="D56" s="78" t="n">
        <x:f>D53-D54-D55</x:f>
        <x:v>226715212.99660802</x:v>
      </x:c>
      <x:c r="E56" s="78" t="n">
        <x:f>E53-E54-E55</x:f>
        <x:v>316337114.8591104</x:v>
      </x:c>
      <x:c r="F56" s="82"/>
      <x:c r="G56" s="2"/>
    </x:row>
    <x:row r="57" ht="20" customHeight="1">
      <x:c r="A57" s="2"/>
      <x:c r="B57" s="35"/>
      <x:c r="C57" s="60"/>
      <x:c r="D57" s="60"/>
      <x:c r="E57" s="60"/>
      <x:c r="F57" s="82"/>
      <x:c r="G57" s="2"/>
    </x:row>
    <x:row r="58" ht="20" customHeight="1">
      <x:c r="A58" s="2" t="str">
        <x:v>Inversión inicial desembolsada (COP)</x:v>
      </x:c>
      <x:c r="B58" s="35" t="n">
        <x:f>Costos!$B$10*Supuestos!$D$28</x:f>
        <x:v>66500000</x:v>
      </x:c>
      <x:c r="C58" s="60" t="n">
        <x:f>0</x:f>
        <x:v>0</x:v>
      </x:c>
      <x:c r="D58" s="60" t="n">
        <x:f>0</x:f>
        <x:v>0</x:v>
      </x:c>
      <x:c r="E58" s="60" t="n">
        <x:f>0</x:f>
        <x:v>0</x:v>
      </x:c>
      <x:c r="F58" s="82"/>
      <x:c r="G58" s="2"/>
    </x:row>
    <x:row r="59" ht="20" customHeight="1">
      <x:c r="A59" s="76" t="str">
        <x:v>FLUJO DE CAJA NETO (COP)</x:v>
      </x:c>
      <x:c r="B59" s="77" t="n">
        <x:f>-B58</x:f>
        <x:v>-66500000</x:v>
      </x:c>
      <x:c r="C59" s="78" t="n">
        <x:f>C56</x:f>
        <x:v>84220138.90559998</x:v>
      </x:c>
      <x:c r="D59" s="78" t="n">
        <x:f>D56</x:f>
        <x:v>226715212.99660802</x:v>
      </x:c>
      <x:c r="E59" s="78" t="n">
        <x:f>E56</x:f>
        <x:v>316337114.8591104</x:v>
      </x:c>
      <x:c r="F59" s="82"/>
      <x:c r="G59" s="2"/>
    </x:row>
    <x:row r="60" ht="20" customHeight="1">
      <x:c r="A60" s="44" t="str">
        <x:v>FLUJO DESCONTADO (COP)</x:v>
      </x:c>
      <x:c r="B60" s="45" t="n">
        <x:f>B59</x:f>
        <x:v>-66500000</x:v>
      </x:c>
      <x:c r="C60" s="68" t="n">
        <x:f>C59/(1+Supuestos!$D$34)^1</x:f>
        <x:v>73234903.39617391</x:v>
      </x:c>
      <x:c r="D60" s="68" t="n">
        <x:f>D59/(1+Supuestos!$D$34)^2</x:f>
        <x:v>171429272.58722726</x:v>
      </x:c>
      <x:c r="E60" s="68" t="n">
        <x:f>E59/(1+Supuestos!$D$34)^3</x:f>
        <x:v>207996787.94056743</x:v>
      </x:c>
      <x:c r="F60" s="82" t="str">
        <x:v>Año 0 sin descuento; años 1–3 descontados</x:v>
      </x:c>
      <x:c r="G60" s="2"/>
    </x:row>
    <x:row r="61" ht="20" customHeight="1">
      <x:c r="A61" s="44" t="str">
        <x:v>Acumulado caja sin descuento (COP)</x:v>
      </x:c>
      <x:c r="B61" s="45" t="n">
        <x:f>B59</x:f>
        <x:v>-66500000</x:v>
      </x:c>
      <x:c r="C61" s="68" t="n">
        <x:f>$B$61+C59</x:f>
        <x:v>17720138.90559998</x:v>
      </x:c>
      <x:c r="D61" s="68" t="n">
        <x:f>C61+D59</x:f>
        <x:v>244435351.902208</x:v>
      </x:c>
      <x:c r="E61" s="68" t="n">
        <x:f>D61+E59</x:f>
        <x:v>560772466.7613184</x:v>
      </x:c>
      <x:c r="F61" s="82"/>
      <x:c r="G61" s="2"/>
    </x:row>
    <x:row r="62" ht="20" customHeight="1">
      <x:c r="A62" s="44" t="str">
        <x:v>Acumulado caja descontado (COP)</x:v>
      </x:c>
      <x:c r="B62" s="45" t="n">
        <x:f>B60</x:f>
        <x:v>-66500000</x:v>
      </x:c>
      <x:c r="C62" s="68" t="n">
        <x:f>$B$62+C60</x:f>
        <x:v>6734903.396173909</x:v>
      </x:c>
      <x:c r="D62" s="68" t="n">
        <x:f>C62+D60</x:f>
        <x:v>178164175.98340118</x:v>
      </x:c>
      <x:c r="E62" s="68" t="n">
        <x:f>D62+E60</x:f>
        <x:v>386160963.9239686</x:v>
      </x:c>
      <x:c r="F62" s="82"/>
      <x:c r="G62" s="2"/>
    </x:row>
    <x:row r="63" ht="20" customHeight="1">
      <x:c r="A63" s="2"/>
      <x:c r="B63" s="35"/>
      <x:c r="C63" s="60"/>
      <x:c r="D63" s="60"/>
      <x:c r="E63" s="60"/>
      <x:c r="F63" s="82"/>
      <x:c r="G63" s="2"/>
    </x:row>
    <x:row r="64" ht="20" customHeight="1">
      <x:c r="A64" s="2" t="str">
        <x:v>RATIO capacidad usada</x:v>
      </x:c>
      <x:c r="B64" s="35"/>
      <x:c r="C64" s="59" t="n">
        <x:f>IFERROR(C26/C25,0)</x:f>
        <x:v>0.350892</x:v>
      </x:c>
      <x:c r="D64" s="59" t="n">
        <x:f>IFERROR(D26/D25,0)</x:f>
        <x:v>0.47097504000000007</x:v>
      </x:c>
      <x:c r="E64" s="59" t="n">
        <x:f>IFERROR(E26/E25,0)</x:f>
        <x:v>0.5580586368</x:v>
      </x:c>
      <x:c r="F64" s="82"/>
      <x:c r="G64" s="2"/>
    </x:row>
    <x:row r="65" ht="20" customHeight="1">
      <x:c r="A65" s="2" t="str">
        <x:v>Contribución neta / cliente atendible (COP)</x:v>
      </x:c>
      <x:c r="B65" s="35"/>
      <x:c r="C65" s="60" t="n">
        <x:f>IFERROR(C56/C18,0)</x:f>
        <x:v>52781.57495247032</x:v>
      </x:c>
      <x:c r="D65" s="60" t="n">
        <x:f>IFERROR(D56/D18,0)</x:f>
        <x:v>70571.82861877666</x:v>
      </x:c>
      <x:c r="E65" s="60" t="n">
        <x:f>IFERROR(E56/E18,0)</x:f>
        <x:v>74793.0810937388</x:v>
      </x:c>
      <x:c r="F65" s="82"/>
      <x:c r="G65" s="2"/>
    </x:row>
    <x:row r="66" ht="20" customHeight="1">
      <x:c r="A66" s="2" t="str">
        <x:v>Efecto neto tasa conversión (pp)</x:v>
      </x:c>
      <x:c r="B66" s="35"/>
      <x:c r="C66" s="59" t="n">
        <x:f>C20-C19</x:f>
        <x:v>0.38</x:v>
      </x:c>
      <x:c r="D66" s="59" t="n">
        <x:f>D20-D19</x:f>
        <x:v>0.38</x:v>
      </x:c>
      <x:c r="E66" s="59" t="n">
        <x:f>E20-E19</x:f>
        <x:v>0.38</x:v>
      </x:c>
      <x:c r="F66" s="8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6" t="str">
        <x:v>COHORTES  |  CONVERSIÓN TEMPORAL SIN DOBLE CONTAR</x:v>
      </x:c>
      <x:c r="B1" s="6"/>
      <x:c r="C1" s="6"/>
      <x:c r="D1" s="6"/>
      <x:c r="E1" s="6"/>
      <x:c r="F1" s="6"/>
      <x:c r="G1" s="6"/>
      <x:c r="H1" s="6"/>
    </x:row>
    <x:row r="2" ht="28" customHeight="1">
      <x:c r="A2" s="11" t="str">
        <x:v>Las entregas elegibles de noviembre/diciembre pueden generar servicio en el año siguiente; Y4 queda fuera del VPN 2027–2029</x:v>
      </x:c>
      <x:c r="B2" s="11"/>
      <x:c r="C2" s="11"/>
      <x:c r="D2" s="11"/>
      <x:c r="E2" s="11"/>
      <x:c r="F2" s="11"/>
      <x:c r="G2" s="11"/>
      <x:c r="H2" s="11"/>
    </x:row>
    <x:row r="3" ht="20" customHeight="1">
      <x:c r="A3" s="2"/>
      <x:c r="B3" s="2"/>
      <x:c r="C3" s="2"/>
      <x:c r="D3" s="2"/>
      <x:c r="E3" s="2"/>
      <x:c r="F3" s="2"/>
      <x:c r="G3" s="2"/>
    </x:row>
    <x:row r="4" ht="20" customHeight="1">
      <x:c r="A4" s="2"/>
      <x:c r="B4" s="2"/>
      <x:c r="C4" s="2"/>
      <x:c r="D4" s="2"/>
      <x:c r="E4" s="2"/>
      <x:c r="F4" s="2"/>
      <x:c r="G4" s="2"/>
    </x:row>
    <x:row r="5" ht="24" customHeight="1">
      <x:c r="A5" s="30" t="str">
        <x:v>PESIMISTA</x:v>
      </x:c>
      <x:c r="B5" s="30"/>
      <x:c r="C5" s="30"/>
      <x:c r="D5" s="30"/>
      <x:c r="E5" s="30"/>
      <x:c r="F5" s="30"/>
      <x:c r="G5" s="30"/>
      <x:c r="H5" s="96"/>
    </x:row>
    <x:row r="6" ht="27" customHeight="1">
      <x:c r="A6" s="16" t="str">
        <x:v>Cohorte</x:v>
      </x:c>
      <x:c r="B6" s="16" t="str">
        <x:v>Elegibles</x:v>
      </x:c>
      <x:c r="C6" s="16" t="str">
        <x:v>2027</x:v>
      </x:c>
      <x:c r="D6" s="16" t="str">
        <x:v>2028</x:v>
      </x:c>
      <x:c r="E6" s="16" t="str">
        <x:v>2029</x:v>
      </x:c>
      <x:c r="F6" s="16" t="str">
        <x:v>2030 (fuera horizonte)</x:v>
      </x:c>
      <x:c r="G6" s="16" t="str">
        <x:v>Total por cohorte</x:v>
      </x:c>
      <x:c r="H6" s="16" t="str">
        <x:v>Diferencia</x:v>
      </x:c>
    </x:row>
    <x:row r="7" ht="20" customHeight="1">
      <x:c r="A7" s="2" t="n">
        <x:v>2027</x:v>
      </x:c>
      <x:c r="B7" s="35" t="n">
        <x:f>Pesimista!C14</x:f>
        <x:v>320.76000000000005</x:v>
      </x:c>
      <x:c r="C7" s="35" t="n">
        <x:f>B7*Pesimista!C15</x:f>
        <x:v>240.57000000000005</x:v>
      </x:c>
      <x:c r="D7" s="35" t="n">
        <x:f>B7*(1-Pesimista!C15)</x:f>
        <x:v>80.19000000000001</x:v>
      </x:c>
      <x:c r="E7" s="35" t="n">
        <x:f>0</x:f>
        <x:v>0</x:v>
      </x:c>
      <x:c r="F7" s="35" t="n">
        <x:f>0</x:f>
        <x:v>0</x:v>
      </x:c>
      <x:c r="G7" s="35" t="n">
        <x:f>SUM(C7:F7)</x:f>
        <x:v>320.76000000000005</x:v>
      </x:c>
      <x:c r="H7" s="102" t="n">
        <x:f>B7-G7</x:f>
        <x:v>0</x:v>
      </x:c>
    </x:row>
    <x:row r="8" ht="20" customHeight="1">
      <x:c r="A8" s="2" t="n">
        <x:v>2028</x:v>
      </x:c>
      <x:c r="B8" s="35" t="n">
        <x:f>Pesimista!D14</x:f>
        <x:v>521.2349999999999</x:v>
      </x:c>
      <x:c r="C8" s="35" t="n">
        <x:f>0</x:f>
        <x:v>0</x:v>
      </x:c>
      <x:c r="D8" s="35" t="n">
        <x:f>B8*Pesimista!D15</x:f>
        <x:v>390.9262499999999</x:v>
      </x:c>
      <x:c r="E8" s="35" t="n">
        <x:f>B8*(1-Pesimista!D15)</x:f>
        <x:v>130.30874999999997</x:v>
      </x:c>
      <x:c r="F8" s="35" t="n">
        <x:f>0</x:f>
        <x:v>0</x:v>
      </x:c>
      <x:c r="G8" s="35" t="n">
        <x:f>SUM(C8:F8)</x:f>
        <x:v>521.2349999999999</x:v>
      </x:c>
      <x:c r="H8" s="102" t="n">
        <x:f>B8-G8</x:f>
        <x:v>0</x:v>
      </x:c>
    </x:row>
    <x:row r="9" ht="20" customHeight="1">
      <x:c r="A9" s="2" t="n">
        <x:v>2029</x:v>
      </x:c>
      <x:c r="B9" s="35" t="n">
        <x:f>Pesimista!E14</x:f>
        <x:v>601.4250000000001</x:v>
      </x:c>
      <x:c r="C9" s="35" t="n">
        <x:f>0</x:f>
        <x:v>0</x:v>
      </x:c>
      <x:c r="D9" s="35" t="n">
        <x:f>0</x:f>
        <x:v>0</x:v>
      </x:c>
      <x:c r="E9" s="35" t="n">
        <x:f>B9*Pesimista!E15</x:f>
        <x:v>451.06875</x:v>
      </x:c>
      <x:c r="F9" s="35" t="n">
        <x:f>B9*(1-Pesimista!E15)</x:f>
        <x:v>150.35625000000002</x:v>
      </x:c>
      <x:c r="G9" s="35" t="n">
        <x:f>SUM(C9:F9)</x:f>
        <x:v>601.4250000000001</x:v>
      </x:c>
      <x:c r="H9" s="102" t="n">
        <x:f>B9-G9</x:f>
        <x:v>0</x:v>
      </x:c>
    </x:row>
    <x:row r="10" ht="20" customHeight="1">
      <x:c r="A10" s="44" t="str">
        <x:v>TOTAL / CHECK</x:v>
      </x:c>
      <x:c r="B10" s="45" t="n">
        <x:f>SUM(B7:B9)</x:f>
        <x:v>1443.42</x:v>
      </x:c>
      <x:c r="C10" s="45" t="n">
        <x:f>SUM(C7:C9)</x:f>
        <x:v>240.57000000000005</x:v>
      </x:c>
      <x:c r="D10" s="45" t="n">
        <x:f>SUM(D7:D9)</x:f>
        <x:v>471.1162499999999</x:v>
      </x:c>
      <x:c r="E10" s="45" t="n">
        <x:f>SUM(E7:E9)</x:f>
        <x:v>581.3775</x:v>
      </x:c>
      <x:c r="F10" s="45" t="n">
        <x:f>SUM(F7:F9)</x:f>
        <x:v>150.35625000000002</x:v>
      </x:c>
      <x:c r="G10" s="45" t="n">
        <x:f>SUM(G7:G9)</x:f>
        <x:v>1443.42</x:v>
      </x:c>
      <x:c r="H10" s="103" t="n">
        <x:f>SUM(H7:H9)</x:f>
        <x:v>0</x:v>
      </x:c>
    </x:row>
    <x:row r="11" ht="20" customHeight="1">
      <x:c r="A11" s="2" t="str">
        <x:v>Delta vs modelo anual</x:v>
      </x:c>
      <x:c r="B11" s="35"/>
      <x:c r="C11" s="35" t="n">
        <x:f>C10-Pesimista!C18</x:f>
        <x:v>0</x:v>
      </x:c>
      <x:c r="D11" s="35" t="n">
        <x:f>D10-Pesimista!D18</x:f>
        <x:v>0</x:v>
      </x:c>
      <x:c r="E11" s="35" t="n">
        <x:f>E10-Pesimista!E18</x:f>
        <x:v>0</x:v>
      </x:c>
      <x:c r="F11" s="35"/>
      <x:c r="G11" s="35"/>
      <x:c r="H11" s="102"/>
    </x:row>
    <x:row r="12" ht="24" customHeight="1">
      <x:c r="A12" s="30" t="str">
        <x:v>BASE</x:v>
      </x:c>
      <x:c r="B12" s="36"/>
      <x:c r="C12" s="36"/>
      <x:c r="D12" s="36"/>
      <x:c r="E12" s="36"/>
      <x:c r="F12" s="36"/>
      <x:c r="G12" s="36"/>
      <x:c r="H12" s="104"/>
    </x:row>
    <x:row r="13" ht="27" customHeight="1">
      <x:c r="A13" s="16" t="str">
        <x:v>Cohorte</x:v>
      </x:c>
      <x:c r="B13" s="105" t="str">
        <x:v>Elegibles</x:v>
      </x:c>
      <x:c r="C13" s="105" t="str">
        <x:v>2027</x:v>
      </x:c>
      <x:c r="D13" s="105" t="str">
        <x:v>2028</x:v>
      </x:c>
      <x:c r="E13" s="105" t="str">
        <x:v>2029</x:v>
      </x:c>
      <x:c r="F13" s="105" t="str">
        <x:v>2030 (fuera horizonte)</x:v>
      </x:c>
      <x:c r="G13" s="105" t="str">
        <x:v>Total por cohorte</x:v>
      </x:c>
      <x:c r="H13" s="105" t="str">
        <x:v>Diferencia</x:v>
      </x:c>
    </x:row>
    <x:row r="14" ht="20" customHeight="1">
      <x:c r="A14" s="2" t="n">
        <x:v>2027</x:v>
      </x:c>
      <x:c r="B14" s="35" t="n">
        <x:f>Base!C14</x:f>
        <x:v>1095.12</x:v>
      </x:c>
      <x:c r="C14" s="35" t="n">
        <x:f>B14*Base!C15</x:f>
        <x:v>821.3399999999999</x:v>
      </x:c>
      <x:c r="D14" s="35" t="n">
        <x:f>B14*(1-Base!C15)</x:f>
        <x:v>273.78</x:v>
      </x:c>
      <x:c r="E14" s="35" t="n">
        <x:f>0</x:f>
        <x:v>0</x:v>
      </x:c>
      <x:c r="F14" s="35" t="n">
        <x:f>0</x:f>
        <x:v>0</x:v>
      </x:c>
      <x:c r="G14" s="35" t="n">
        <x:f>SUM(C14:F14)</x:f>
        <x:v>1095.12</x:v>
      </x:c>
      <x:c r="H14" s="102" t="n">
        <x:f>B14-G14</x:f>
        <x:v>0</x:v>
      </x:c>
    </x:row>
    <x:row r="15" ht="20" customHeight="1">
      <x:c r="A15" s="2" t="n">
        <x:v>2028</x:v>
      </x:c>
      <x:c r="B15" s="35" t="n">
        <x:f>Base!D14</x:f>
        <x:v>1892.3673600000004</x:v>
      </x:c>
      <x:c r="C15" s="35" t="n">
        <x:f>0</x:f>
        <x:v>0</x:v>
      </x:c>
      <x:c r="D15" s="35" t="n">
        <x:f>B15*Base!D15</x:f>
        <x:v>1419.2755200000004</x:v>
      </x:c>
      <x:c r="E15" s="35" t="n">
        <x:f>B15*(1-Base!D15)</x:f>
        <x:v>473.0918400000001</x:v>
      </x:c>
      <x:c r="F15" s="35" t="n">
        <x:f>0</x:f>
        <x:v>0</x:v>
      </x:c>
      <x:c r="G15" s="35" t="n">
        <x:f>SUM(C15:F15)</x:f>
        <x:v>1892.3673600000004</x:v>
      </x:c>
      <x:c r="H15" s="102" t="n">
        <x:f>B15-G15</x:f>
        <x:v>0</x:v>
      </x:c>
    </x:row>
    <x:row r="16" ht="20" customHeight="1">
      <x:c r="A16" s="2" t="n">
        <x:v>2029</x:v>
      </x:c>
      <x:c r="B16" s="35" t="n">
        <x:f>Base!E14</x:f>
        <x:v>2554.6959360000005</x:v>
      </x:c>
      <x:c r="C16" s="35" t="n">
        <x:f>0</x:f>
        <x:v>0</x:v>
      </x:c>
      <x:c r="D16" s="35" t="n">
        <x:f>0</x:f>
        <x:v>0</x:v>
      </x:c>
      <x:c r="E16" s="35" t="n">
        <x:f>B16*Base!E15</x:f>
        <x:v>1916.0219520000005</x:v>
      </x:c>
      <x:c r="F16" s="35" t="n">
        <x:f>B16*(1-Base!E15)</x:f>
        <x:v>638.6739840000001</x:v>
      </x:c>
      <x:c r="G16" s="35" t="n">
        <x:f>SUM(C16:F16)</x:f>
        <x:v>2554.6959360000005</x:v>
      </x:c>
      <x:c r="H16" s="102" t="n">
        <x:f>B16-G16</x:f>
        <x:v>0</x:v>
      </x:c>
    </x:row>
    <x:row r="17" ht="20" customHeight="1">
      <x:c r="A17" s="44" t="str">
        <x:v>TOTAL / CHECK</x:v>
      </x:c>
      <x:c r="B17" s="45" t="n">
        <x:f>SUM(B14:B16)</x:f>
        <x:v>5542.183296000001</x:v>
      </x:c>
      <x:c r="C17" s="45" t="n">
        <x:f>SUM(C14:C16)</x:f>
        <x:v>821.3399999999999</x:v>
      </x:c>
      <x:c r="D17" s="45" t="n">
        <x:f>SUM(D14:D16)</x:f>
        <x:v>1693.0555200000003</x:v>
      </x:c>
      <x:c r="E17" s="45" t="n">
        <x:f>SUM(E14:E16)</x:f>
        <x:v>2389.1137920000006</x:v>
      </x:c>
      <x:c r="F17" s="45" t="n">
        <x:f>SUM(F14:F16)</x:f>
        <x:v>638.6739840000001</x:v>
      </x:c>
      <x:c r="G17" s="45" t="n">
        <x:f>SUM(G14:G16)</x:f>
        <x:v>5542.183296000001</x:v>
      </x:c>
      <x:c r="H17" s="103" t="n">
        <x:f>SUM(H14:H16)</x:f>
        <x:v>0</x:v>
      </x:c>
    </x:row>
    <x:row r="18" ht="20" customHeight="1">
      <x:c r="A18" s="2" t="str">
        <x:v>Delta vs modelo anual</x:v>
      </x:c>
      <x:c r="B18" s="35"/>
      <x:c r="C18" s="35" t="n">
        <x:f>C17-Base!C18</x:f>
        <x:v>0</x:v>
      </x:c>
      <x:c r="D18" s="35" t="n">
        <x:f>D17-Base!D18</x:f>
        <x:v>0</x:v>
      </x:c>
      <x:c r="E18" s="35" t="n">
        <x:f>E17-Base!E18</x:f>
        <x:v>0</x:v>
      </x:c>
      <x:c r="F18" s="35"/>
      <x:c r="G18" s="35"/>
      <x:c r="H18" s="102"/>
    </x:row>
    <x:row r="19" ht="24" customHeight="1">
      <x:c r="A19" s="30" t="str">
        <x:v>OPTIMISTA</x:v>
      </x:c>
      <x:c r="B19" s="36"/>
      <x:c r="C19" s="36"/>
      <x:c r="D19" s="36"/>
      <x:c r="E19" s="36"/>
      <x:c r="F19" s="36"/>
      <x:c r="G19" s="36"/>
      <x:c r="H19" s="104"/>
    </x:row>
    <x:row r="20" ht="27" customHeight="1">
      <x:c r="A20" s="16" t="str">
        <x:v>Cohorte</x:v>
      </x:c>
      <x:c r="B20" s="105" t="str">
        <x:v>Elegibles</x:v>
      </x:c>
      <x:c r="C20" s="105" t="str">
        <x:v>2027</x:v>
      </x:c>
      <x:c r="D20" s="105" t="str">
        <x:v>2028</x:v>
      </x:c>
      <x:c r="E20" s="105" t="str">
        <x:v>2029</x:v>
      </x:c>
      <x:c r="F20" s="105" t="str">
        <x:v>2030 (fuera horizonte)</x:v>
      </x:c>
      <x:c r="G20" s="105" t="str">
        <x:v>Total por cohorte</x:v>
      </x:c>
      <x:c r="H20" s="105" t="str">
        <x:v>Diferencia</x:v>
      </x:c>
    </x:row>
    <x:row r="21" ht="20" customHeight="1">
      <x:c r="A21" s="2" t="n">
        <x:v>2027</x:v>
      </x:c>
      <x:c r="B21" s="35" t="n">
        <x:f>Optimista!C14</x:f>
        <x:v>2127.5136</x:v>
      </x:c>
      <x:c r="C21" s="35" t="n">
        <x:f>B21*Optimista!C15</x:f>
        <x:v>1595.6352000000002</x:v>
      </x:c>
      <x:c r="D21" s="35" t="n">
        <x:f>B21*(1-Optimista!C15)</x:f>
        <x:v>531.8784</x:v>
      </x:c>
      <x:c r="E21" s="35" t="n">
        <x:f>0</x:f>
        <x:v>0</x:v>
      </x:c>
      <x:c r="F21" s="35" t="n">
        <x:f>0</x:f>
        <x:v>0</x:v>
      </x:c>
      <x:c r="G21" s="35" t="n">
        <x:f>SUM(C21:F21)</x:f>
        <x:v>2127.5136</x:v>
      </x:c>
      <x:c r="H21" s="102" t="n">
        <x:f>B21-G21</x:f>
        <x:v>0</x:v>
      </x:c>
    </x:row>
    <x:row r="22" ht="20" customHeight="1">
      <x:c r="A22" s="2" t="n">
        <x:v>2028</x:v>
      </x:c>
      <x:c r="B22" s="35" t="n">
        <x:f>Optimista!D14</x:f>
        <x:v>3574.2228480000003</x:v>
      </x:c>
      <x:c r="C22" s="35" t="n">
        <x:f>0</x:f>
        <x:v>0</x:v>
      </x:c>
      <x:c r="D22" s="35" t="n">
        <x:f>B22*Optimista!D15</x:f>
        <x:v>2680.667136</x:v>
      </x:c>
      <x:c r="E22" s="35" t="n">
        <x:f>B22*(1-Optimista!D15)</x:f>
        <x:v>893.5557120000001</x:v>
      </x:c>
      <x:c r="F22" s="35" t="n">
        <x:f>0</x:f>
        <x:v>0</x:v>
      </x:c>
      <x:c r="G22" s="35" t="n">
        <x:f>SUM(C22:F22)</x:f>
        <x:v>3574.2228480000003</x:v>
      </x:c>
      <x:c r="H22" s="102" t="n">
        <x:f>B22-G22</x:f>
        <x:v>0</x:v>
      </x:c>
    </x:row>
    <x:row r="23" ht="20" customHeight="1">
      <x:c r="A23" s="2" t="n">
        <x:v>2029</x:v>
      </x:c>
      <x:c r="B23" s="35" t="n">
        <x:f>Optimista!E14</x:f>
        <x:v>4447.921766400001</x:v>
      </x:c>
      <x:c r="C23" s="35" t="n">
        <x:f>0</x:f>
        <x:v>0</x:v>
      </x:c>
      <x:c r="D23" s="35" t="n">
        <x:f>0</x:f>
        <x:v>0</x:v>
      </x:c>
      <x:c r="E23" s="35" t="n">
        <x:f>B23*Optimista!E15</x:f>
        <x:v>3335.9413248000005</x:v>
      </x:c>
      <x:c r="F23" s="35" t="n">
        <x:f>B23*(1-Optimista!E15)</x:f>
        <x:v>1111.9804416000002</x:v>
      </x:c>
      <x:c r="G23" s="35" t="n">
        <x:f>SUM(C23:F23)</x:f>
        <x:v>4447.921766400001</x:v>
      </x:c>
      <x:c r="H23" s="102" t="n">
        <x:f>B23-G23</x:f>
        <x:v>0</x:v>
      </x:c>
    </x:row>
    <x:row r="24" ht="20" customHeight="1">
      <x:c r="A24" s="44" t="str">
        <x:v>TOTAL / CHECK</x:v>
      </x:c>
      <x:c r="B24" s="45" t="n">
        <x:f>SUM(B21:B23)</x:f>
        <x:v>10149.658214400002</x:v>
      </x:c>
      <x:c r="C24" s="45" t="n">
        <x:f>SUM(C21:C23)</x:f>
        <x:v>1595.6352000000002</x:v>
      </x:c>
      <x:c r="D24" s="45" t="n">
        <x:f>SUM(D21:D23)</x:f>
        <x:v>3212.545536</x:v>
      </x:c>
      <x:c r="E24" s="45" t="n">
        <x:f>SUM(E21:E23)</x:f>
        <x:v>4229.4970368</x:v>
      </x:c>
      <x:c r="F24" s="45" t="n">
        <x:f>SUM(F21:F23)</x:f>
        <x:v>1111.9804416000002</x:v>
      </x:c>
      <x:c r="G24" s="45" t="n">
        <x:f>SUM(G21:G23)</x:f>
        <x:v>10149.658214400002</x:v>
      </x:c>
      <x:c r="H24" s="103" t="n">
        <x:f>SUM(H21:H23)</x:f>
        <x:v>0</x:v>
      </x:c>
    </x:row>
    <x:row r="25" ht="20" customHeight="1">
      <x:c r="A25" s="2" t="str">
        <x:v>Delta vs modelo anual</x:v>
      </x:c>
      <x:c r="B25" s="35"/>
      <x:c r="C25" s="35" t="n">
        <x:f>C24-Optimista!C18</x:f>
        <x:v>0</x:v>
      </x:c>
      <x:c r="D25" s="35" t="n">
        <x:f>D24-Optimista!D18</x:f>
        <x:v>0</x:v>
      </x:c>
      <x:c r="E25" s="35" t="n">
        <x:f>E24-Optimista!E18</x:f>
        <x:v>0</x:v>
      </x:c>
      <x:c r="F25" s="35"/>
      <x:c r="G25" s="35"/>
      <x:c r="H25" s="102"/>
    </x:row>
    <x:row r="26" ht="20" customHeight="1">
      <x:c r="A26" s="2"/>
      <x:c r="B26" s="35"/>
      <x:c r="C26" s="35"/>
      <x:c r="D26" s="35"/>
      <x:c r="E26" s="35"/>
      <x:c r="F26" s="35"/>
      <x:c r="G26" s="35"/>
      <x:c r="H26" s="102"/>
    </x:row>
    <x:row r="27" ht="20" customHeight="1">
      <x:c r="A27" s="2"/>
      <x:c r="B27" s="35"/>
      <x:c r="C27" s="35"/>
      <x:c r="D27" s="35"/>
      <x:c r="E27" s="35"/>
      <x:c r="F27" s="35"/>
      <x:c r="G27" s="35"/>
      <x:c r="H27" s="102"/>
    </x:row>
    <x:row r="28" ht="20" customHeight="1">
      <x:c r="A28" s="2"/>
      <x:c r="B28" s="2"/>
      <x:c r="C28" s="2"/>
      <x:c r="D28" s="2"/>
      <x:c r="E28" s="2"/>
      <x:c r="F28" s="2"/>
      <x:c r="G28" s="2"/>
    </x:row>
    <x:row r="29" ht="20" customHeight="1">
      <x:c r="A29" s="85" t="str">
        <x:v>Todos los checks y diferencias deberían dar cero (0).</x:v>
      </x:c>
      <x:c r="B29" s="85"/>
      <x:c r="C29" s="85"/>
      <x:c r="D29" s="85"/>
      <x:c r="E29" s="85"/>
      <x:c r="F29" s="85"/>
      <x:c r="G29" s="85"/>
      <x:c r="H29" s="111"/>
    </x:row>
    <x:row r="30" ht="20" customHeight="1">
      <x:c r="A30" s="2"/>
      <x:c r="B30" s="2"/>
      <x:c r="C30" s="2"/>
      <x:c r="D30" s="2"/>
      <x:c r="E30" s="2"/>
      <x:c r="F30" s="2"/>
      <x:c r="G30" s="2"/>
    </x:row>
    <x:row r="31" ht="20" customHeight="1">
      <x:c r="A31" s="2"/>
      <x:c r="B31" s="2"/>
      <x:c r="C31" s="2"/>
      <x:c r="D31" s="2"/>
      <x:c r="E31" s="2"/>
      <x:c r="F31" s="2"/>
      <x:c r="G31" s="2"/>
    </x:row>
    <x:row r="32" ht="20" customHeight="1">
      <x:c r="A32" s="2"/>
      <x:c r="B32" s="2"/>
      <x:c r="C32" s="2"/>
      <x:c r="D32" s="2"/>
      <x:c r="E32" s="2"/>
      <x:c r="F32" s="2"/>
      <x:c r="G32" s="2"/>
    </x:row>
    <x:row r="33" ht="20" customHeight="1">
      <x:c r="A33" s="2"/>
      <x:c r="B33" s="2"/>
      <x:c r="C33" s="2"/>
      <x:c r="D33" s="2"/>
      <x:c r="E33" s="2"/>
      <x:c r="F33" s="2"/>
      <x:c r="G33" s="2"/>
    </x:row>
    <x:row r="34" ht="20" customHeight="1">
      <x:c r="A34" s="2"/>
      <x:c r="B34" s="2"/>
      <x:c r="C34" s="2"/>
      <x:c r="D34" s="2"/>
      <x:c r="E34" s="2"/>
      <x:c r="F34" s="2"/>
      <x:c r="G34" s="2"/>
    </x:row>
    <x:row r="35" ht="20" customHeight="1">
      <x:c r="A35" s="2"/>
      <x:c r="B35" s="2"/>
      <x:c r="C35" s="2"/>
      <x:c r="D35" s="2"/>
      <x:c r="E35" s="2"/>
      <x:c r="F35" s="2"/>
      <x:c r="G35" s="2"/>
    </x:row>
    <x:row r="36" ht="20" customHeight="1">
      <x:c r="A36" s="2"/>
      <x:c r="B36" s="2"/>
      <x:c r="C36" s="2"/>
      <x:c r="D36" s="2"/>
      <x:c r="E36" s="2"/>
      <x:c r="F36" s="2"/>
      <x:c r="G36" s="2"/>
    </x:row>
    <x:row r="37" ht="20" customHeight="1">
      <x:c r="A37" s="2"/>
      <x:c r="B37" s="2"/>
      <x:c r="C37" s="2"/>
      <x:c r="D37" s="2"/>
      <x:c r="E37" s="2"/>
      <x:c r="F37" s="2"/>
      <x:c r="G37" s="2"/>
    </x:row>
    <x:row r="38" ht="20" customHeight="1">
      <x:c r="A38" s="2"/>
      <x:c r="B38" s="2"/>
      <x:c r="C38" s="2"/>
      <x:c r="D38" s="2"/>
      <x:c r="E38" s="2"/>
      <x:c r="F38" s="2"/>
      <x:c r="G38" s="2"/>
    </x:row>
    <x:row r="39" ht="20" customHeight="1">
      <x:c r="A39" s="2"/>
      <x:c r="B39" s="2"/>
      <x:c r="C39" s="2"/>
      <x:c r="D39" s="2"/>
      <x:c r="E39" s="2"/>
      <x:c r="F39" s="2"/>
      <x:c r="G39" s="2"/>
    </x:row>
    <x:row r="40" ht="20" customHeight="1">
      <x:c r="A40" s="2"/>
      <x:c r="B40" s="2"/>
      <x:c r="C40" s="2"/>
      <x:c r="D40" s="2"/>
      <x:c r="E40" s="2"/>
      <x:c r="F40" s="2"/>
      <x:c r="G40" s="2"/>
    </x:row>
    <x:row r="41" ht="20" customHeight="1">
      <x:c r="A41" s="2"/>
      <x:c r="B41" s="2"/>
      <x:c r="C41" s="2"/>
      <x:c r="D41" s="2"/>
      <x:c r="E41" s="2"/>
      <x:c r="F41" s="2"/>
      <x:c r="G41" s="2"/>
    </x:row>
    <x:row r="42" ht="20" customHeight="1">
      <x:c r="A42" s="2"/>
      <x:c r="B42" s="2"/>
      <x:c r="C42" s="2"/>
      <x:c r="D42" s="2"/>
      <x:c r="E42" s="2"/>
      <x:c r="F42" s="2"/>
      <x:c r="G42" s="2"/>
    </x:row>
    <x:row r="43" ht="20" customHeight="1">
      <x:c r="A43" s="2"/>
      <x:c r="B43" s="2"/>
      <x:c r="C43" s="2"/>
      <x:c r="D43" s="2"/>
      <x:c r="E43" s="2"/>
      <x:c r="F43" s="2"/>
      <x:c r="G43" s="2"/>
    </x:row>
    <x:row r="44" ht="20" customHeight="1">
      <x:c r="A44" s="2"/>
      <x:c r="B44" s="2"/>
      <x:c r="C44" s="2"/>
      <x:c r="D44" s="2"/>
      <x:c r="E44" s="2"/>
      <x:c r="F44" s="2"/>
      <x:c r="G44" s="2"/>
    </x:row>
    <x:row r="45" ht="20" customHeight="1">
      <x:c r="A45" s="2"/>
      <x:c r="B45" s="2"/>
      <x:c r="C45" s="2"/>
      <x:c r="D45" s="2"/>
      <x:c r="E45" s="2"/>
      <x:c r="F45" s="2"/>
      <x:c r="G45" s="2"/>
    </x:row>
    <x:row r="46" ht="20" customHeight="1">
      <x:c r="A46" s="2"/>
      <x:c r="B46" s="2"/>
      <x:c r="C46" s="2"/>
      <x:c r="D46" s="2"/>
      <x:c r="E46" s="2"/>
      <x:c r="F46" s="2"/>
      <x:c r="G46" s="2"/>
    </x:row>
    <x:row r="47" ht="20" customHeight="1">
      <x:c r="A47" s="2"/>
      <x:c r="B47" s="2"/>
      <x:c r="C47" s="2"/>
      <x:c r="D47" s="2"/>
      <x:c r="E47" s="2"/>
      <x:c r="F47" s="2"/>
      <x:c r="G47" s="2"/>
    </x:row>
    <x:row r="48" ht="20" customHeight="1">
      <x:c r="A48" s="2"/>
      <x:c r="B48" s="2"/>
      <x:c r="C48" s="2"/>
      <x:c r="D48" s="2"/>
      <x:c r="E48" s="2"/>
      <x:c r="F48" s="2"/>
      <x:c r="G48" s="2"/>
    </x:row>
    <x:row r="49" ht="20" customHeight="1">
      <x:c r="A49" s="2"/>
      <x:c r="B49" s="2"/>
      <x:c r="C49" s="2"/>
      <x:c r="D49" s="2"/>
      <x:c r="E49" s="2"/>
      <x:c r="F49" s="2"/>
      <x:c r="G49" s="2"/>
    </x:row>
    <x:row r="50" ht="20" customHeight="1">
      <x:c r="A50" s="2"/>
      <x:c r="B50" s="2"/>
      <x:c r="C50" s="2"/>
      <x:c r="D50" s="2"/>
      <x:c r="E50" s="2"/>
      <x:c r="F50" s="2"/>
      <x:c r="G50" s="2"/>
    </x:row>
    <x:row r="51" ht="20" customHeight="1">
      <x:c r="A51" s="2"/>
      <x:c r="B51" s="2"/>
      <x:c r="C51" s="2"/>
      <x:c r="D51" s="2"/>
      <x:c r="E51" s="2"/>
      <x:c r="F51" s="2"/>
      <x:c r="G51" s="2"/>
    </x:row>
    <x:row r="52" ht="20" customHeight="1">
      <x:c r="A52" s="2"/>
      <x:c r="B52" s="2"/>
      <x:c r="C52" s="2"/>
      <x:c r="D52" s="2"/>
      <x:c r="E52" s="2"/>
      <x:c r="F52" s="2"/>
      <x:c r="G52" s="2"/>
    </x:row>
    <x:row r="53" ht="20" customHeight="1">
      <x:c r="A53" s="2"/>
      <x:c r="B53" s="2"/>
      <x:c r="C53" s="2"/>
      <x:c r="D53" s="2"/>
      <x:c r="E53" s="2"/>
      <x:c r="F53" s="2"/>
      <x:c r="G53" s="2"/>
    </x:row>
    <x:row r="54" ht="20" customHeight="1">
      <x:c r="A54" s="2"/>
      <x:c r="B54" s="2"/>
      <x:c r="C54" s="2"/>
      <x:c r="D54" s="2"/>
      <x:c r="E54" s="2"/>
      <x:c r="F54" s="2"/>
      <x:c r="G54" s="2"/>
    </x:row>
    <x:row r="55" ht="20" customHeight="1">
      <x:c r="A55" s="2"/>
      <x:c r="B55" s="2"/>
      <x:c r="C55" s="2"/>
      <x:c r="D55" s="2"/>
      <x:c r="E55" s="2"/>
      <x:c r="F55" s="2"/>
      <x:c r="G55" s="2"/>
    </x:row>
    <x:row r="56" ht="20" customHeight="1">
      <x:c r="A56" s="2"/>
      <x:c r="B56" s="2"/>
      <x:c r="C56" s="2"/>
      <x:c r="D56" s="2"/>
      <x:c r="E56" s="2"/>
      <x:c r="F56" s="2"/>
      <x:c r="G56" s="2"/>
    </x:row>
    <x:row r="57" ht="20" customHeight="1">
      <x:c r="A57" s="2"/>
      <x:c r="B57" s="2"/>
      <x:c r="C57" s="2"/>
      <x:c r="D57" s="2"/>
      <x:c r="E57" s="2"/>
      <x:c r="F57" s="2"/>
      <x:c r="G57" s="2"/>
    </x:row>
    <x:row r="58" ht="20" customHeight="1">
      <x:c r="A58" s="2"/>
      <x:c r="B58" s="2"/>
      <x:c r="C58" s="2"/>
      <x:c r="D58" s="2"/>
      <x:c r="E58" s="2"/>
      <x:c r="F58" s="2"/>
      <x:c r="G58" s="2"/>
    </x:row>
    <x:row r="59" ht="20" customHeight="1">
      <x:c r="A59" s="2"/>
      <x:c r="B59" s="2"/>
      <x:c r="C59" s="2"/>
      <x:c r="D59" s="2"/>
      <x:c r="E59" s="2"/>
      <x:c r="F59" s="2"/>
      <x:c r="G59" s="2"/>
    </x:row>
    <x:row r="60" ht="20" customHeight="1">
      <x:c r="A60" s="2"/>
      <x:c r="B60" s="2"/>
      <x:c r="C60" s="2"/>
      <x:c r="D60" s="2"/>
      <x:c r="E60" s="2"/>
      <x:c r="F60" s="2"/>
      <x:c r="G60" s="2"/>
    </x:row>
    <x:row r="61" ht="20" customHeight="1">
      <x:c r="A61" s="2"/>
      <x:c r="B61" s="2"/>
      <x:c r="C61" s="2"/>
      <x:c r="D61" s="2"/>
      <x:c r="E61" s="2"/>
      <x:c r="F61" s="2"/>
      <x:c r="G61" s="2"/>
    </x:row>
    <x:row r="62" ht="20" customHeight="1">
      <x:c r="A62" s="2"/>
      <x:c r="B62" s="2"/>
      <x:c r="C62" s="2"/>
      <x:c r="D62" s="2"/>
      <x:c r="E62" s="2"/>
      <x:c r="F62" s="2"/>
      <x:c r="G62" s="2"/>
    </x:row>
    <x:row r="63" ht="20" customHeight="1">
      <x:c r="A63" s="2"/>
      <x:c r="B63" s="2"/>
      <x:c r="C63" s="2"/>
      <x:c r="D63" s="2"/>
      <x:c r="E63" s="2"/>
      <x:c r="F63" s="2"/>
      <x:c r="G63" s="2"/>
    </x:row>
    <x:row r="64" ht="20" customHeight="1">
      <x:c r="A64" s="2"/>
      <x:c r="B64" s="2"/>
      <x:c r="C64" s="2"/>
      <x:c r="D64" s="2"/>
      <x:c r="E64" s="2"/>
      <x:c r="F64" s="2"/>
      <x:c r="G64" s="2"/>
    </x:row>
    <x:row r="65" ht="20" customHeight="1">
      <x:c r="A65" s="2"/>
      <x:c r="B65" s="2"/>
      <x:c r="C65" s="2"/>
      <x:c r="D65" s="2"/>
      <x:c r="E65" s="2"/>
      <x:c r="F65" s="2"/>
      <x:c r="G65" s="2"/>
    </x:row>
    <x:row r="66" ht="20" customHeight="1">
      <x:c r="A66" s="2"/>
      <x:c r="B66" s="2"/>
      <x:c r="C66" s="2"/>
      <x:c r="D66" s="2"/>
      <x:c r="E66" s="2"/>
      <x:c r="F66" s="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H1"/>
    <x:mergeCell ref="A2:H2"/>
    <x:mergeCell ref="A5:H5"/>
    <x:mergeCell ref="A12:H12"/>
    <x:mergeCell ref="A19:H19"/>
    <x:mergeCell ref="A29:H2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0" hidden="0" customWidth="1"/>
  </x:cols>
  <x:sheetData>
    <x:row r="1" ht="38" customHeight="1">
      <x:c r="A1" s="6" t="str">
        <x:v>SENSIBILIDADES  |  VPN Y PUNTO DE EQUILIBRIO</x:v>
      </x:c>
      <x:c r="B1" s="6"/>
      <x:c r="C1" s="6"/>
      <x:c r="D1" s="6"/>
      <x:c r="E1" s="6"/>
      <x:c r="F1" s="6"/>
      <x:c r="G1" s="6"/>
      <x:c r="H1" s="6"/>
    </x:row>
    <x:row r="2" ht="28" customHeight="1">
      <x:c r="A2" s="11" t="str">
        <x:v>Se modifica una o dos palancas; se conserva el resto del escenario BASE. Valores en millones COP salvo tasas</x:v>
      </x:c>
      <x:c r="B2" s="11"/>
      <x:c r="C2" s="11"/>
      <x:c r="D2" s="11"/>
      <x:c r="E2" s="11"/>
      <x:c r="F2" s="11"/>
      <x:c r="G2" s="11"/>
      <x:c r="H2" s="11"/>
    </x:row>
    <x:row r="3" ht="20" customHeight="1">
      <x:c r="A3" s="2"/>
      <x:c r="B3" s="2"/>
      <x:c r="C3" s="2"/>
      <x:c r="D3" s="2"/>
      <x:c r="E3" s="2"/>
      <x:c r="F3" s="2"/>
      <x:c r="G3" s="2"/>
    </x:row>
    <x:row r="4" ht="24" customHeight="1">
      <x:c r="A4" s="30" t="str">
        <x:v>VPN 3 AÑOS — TASA TRATAMIENTO × MARGEN (CON CAPACIDAD DEL BASE)</x:v>
      </x:c>
      <x:c r="B4" s="30"/>
      <x:c r="C4" s="30"/>
      <x:c r="D4" s="30"/>
      <x:c r="E4" s="30"/>
      <x:c r="F4" s="30"/>
      <x:c r="G4" s="30"/>
      <x:c r="H4" s="96"/>
    </x:row>
    <x:row r="5" ht="20" customHeight="1">
      <x:c r="A5" s="2"/>
      <x:c r="B5" s="2"/>
      <x:c r="C5" s="2"/>
      <x:c r="D5" s="2"/>
      <x:c r="E5" s="2"/>
      <x:c r="F5" s="2"/>
      <x:c r="G5" s="2"/>
    </x:row>
    <x:row r="6" ht="20" customHeight="1">
      <x:c r="A6" s="2"/>
      <x:c r="B6" s="2"/>
      <x:c r="C6" s="2"/>
      <x:c r="D6" s="2"/>
      <x:c r="E6" s="2"/>
      <x:c r="F6" s="2"/>
      <x:c r="G6" s="2"/>
    </x:row>
    <x:row r="7" ht="20" customHeight="1">
      <x:c r="A7" s="15" t="str">
        <x:v>Tratamiento \ margen</x:v>
      </x:c>
      <x:c r="B7" s="121" t="n">
        <x:v>0.25</x:v>
      </x:c>
      <x:c r="C7" s="121" t="n">
        <x:v>0.3</x:v>
      </x:c>
      <x:c r="D7" s="121" t="n">
        <x:v>0.35</x:v>
      </x:c>
      <x:c r="E7" s="121" t="n">
        <x:v>0.4</x:v>
      </x:c>
      <x:c r="F7" s="121" t="n">
        <x:v>0.45</x:v>
      </x:c>
      <x:c r="G7" s="121" t="n">
        <x:v>0.5</x:v>
      </x:c>
    </x:row>
    <x:row r="8" ht="20" customHeight="1">
      <x:c r="A8" s="52" t="n">
        <x:v>0.3</x:v>
      </x:c>
      <x:c r="B8" s="118" t="n">
        <x:f>(-Base!$B$58+(MIN(MAX(0,Base!$C$18*($A8-Base!$C$19)),Base!$C$25)*Base!$C$29*B$7+Base!$C$49-Base!$C$54-Base!$C$55)/(1+Supuestos!$C$34)^1+(MIN(MAX(0,Base!$D$18*($A8-Base!$D$19)),Base!$D$25)*Base!$D$29*B$7+Base!$D$49-Base!$D$54-Base!$D$55)/(1+Supuestos!$C$34)^2+(MIN(MAX(0,Base!$E$18*($A8-Base!$E$19)),Base!$E$25)*Base!$E$29*B$7+Base!$E$49-Base!$E$54-Base!$E$55)/(1+Supuestos!$C$34)^3)/1000000</x:f>
        <x:v>-143.80071884302131</x:v>
      </x:c>
      <x:c r="C8" s="118" t="n">
        <x:f>(-Base!$B$58+(MIN(MAX(0,Base!$C$18*($A8-Base!$C$19)),Base!$C$25)*Base!$C$29*C$7+Base!$C$49-Base!$C$54-Base!$C$55)/(1+Supuestos!$C$34)^1+(MIN(MAX(0,Base!$D$18*($A8-Base!$D$19)),Base!$D$25)*Base!$D$29*C$7+Base!$D$49-Base!$D$54-Base!$D$55)/(1+Supuestos!$C$34)^2+(MIN(MAX(0,Base!$E$18*($A8-Base!$E$19)),Base!$E$25)*Base!$E$29*C$7+Base!$E$49-Base!$E$54-Base!$E$55)/(1+Supuestos!$C$34)^3)/1000000</x:f>
        <x:v>-137.38320943429275</x:v>
      </x:c>
      <x:c r="D8" s="118" t="n">
        <x:f>(-Base!$B$58+(MIN(MAX(0,Base!$C$18*($A8-Base!$C$19)),Base!$C$25)*Base!$C$29*D$7+Base!$C$49-Base!$C$54-Base!$C$55)/(1+Supuestos!$C$34)^1+(MIN(MAX(0,Base!$D$18*($A8-Base!$D$19)),Base!$D$25)*Base!$D$29*D$7+Base!$D$49-Base!$D$54-Base!$D$55)/(1+Supuestos!$C$34)^2+(MIN(MAX(0,Base!$E$18*($A8-Base!$E$19)),Base!$E$25)*Base!$E$29*D$7+Base!$E$49-Base!$E$54-Base!$E$55)/(1+Supuestos!$C$34)^3)/1000000</x:f>
        <x:v>-130.96570002556425</x:v>
      </x:c>
      <x:c r="E8" s="118" t="n">
        <x:f>(-Base!$B$58+(MIN(MAX(0,Base!$C$18*($A8-Base!$C$19)),Base!$C$25)*Base!$C$29*E$7+Base!$C$49-Base!$C$54-Base!$C$55)/(1+Supuestos!$C$34)^1+(MIN(MAX(0,Base!$D$18*($A8-Base!$D$19)),Base!$D$25)*Base!$D$29*E$7+Base!$D$49-Base!$D$54-Base!$D$55)/(1+Supuestos!$C$34)^2+(MIN(MAX(0,Base!$E$18*($A8-Base!$E$19)),Base!$E$25)*Base!$E$29*E$7+Base!$E$49-Base!$E$54-Base!$E$55)/(1+Supuestos!$C$34)^3)/1000000</x:f>
        <x:v>-124.54819061683571</x:v>
      </x:c>
      <x:c r="F8" s="118" t="n">
        <x:f>(-Base!$B$58+(MIN(MAX(0,Base!$C$18*($A8-Base!$C$19)),Base!$C$25)*Base!$C$29*F$7+Base!$C$49-Base!$C$54-Base!$C$55)/(1+Supuestos!$C$34)^1+(MIN(MAX(0,Base!$D$18*($A8-Base!$D$19)),Base!$D$25)*Base!$D$29*F$7+Base!$D$49-Base!$D$54-Base!$D$55)/(1+Supuestos!$C$34)^2+(MIN(MAX(0,Base!$E$18*($A8-Base!$E$19)),Base!$E$25)*Base!$E$29*F$7+Base!$E$49-Base!$E$54-Base!$E$55)/(1+Supuestos!$C$34)^3)/1000000</x:f>
        <x:v>-118.13068120810718</x:v>
      </x:c>
      <x:c r="G8" s="118" t="n">
        <x:f>(-Base!$B$58+(MIN(MAX(0,Base!$C$18*($A8-Base!$C$19)),Base!$C$25)*Base!$C$29*G$7+Base!$C$49-Base!$C$54-Base!$C$55)/(1+Supuestos!$C$34)^1+(MIN(MAX(0,Base!$D$18*($A8-Base!$D$19)),Base!$D$25)*Base!$D$29*G$7+Base!$D$49-Base!$D$54-Base!$D$55)/(1+Supuestos!$C$34)^2+(MIN(MAX(0,Base!$E$18*($A8-Base!$E$19)),Base!$E$25)*Base!$E$29*G$7+Base!$E$49-Base!$E$54-Base!$E$55)/(1+Supuestos!$C$34)^3)/1000000</x:f>
        <x:v>-111.71317179937866</x:v>
      </x:c>
    </x:row>
    <x:row r="9" ht="20" customHeight="1">
      <x:c r="A9" s="52" t="n">
        <x:v>0.35</x:v>
      </x:c>
      <x:c r="B9" s="118" t="n">
        <x:f>(-Base!$B$58+(MIN(MAX(0,Base!$C$18*($A9-Base!$C$19)),Base!$C$25)*Base!$C$29*B$7+Base!$C$49-Base!$C$54-Base!$C$55)/(1+Supuestos!$C$34)^1+(MIN(MAX(0,Base!$D$18*($A9-Base!$D$19)),Base!$D$25)*Base!$D$29*B$7+Base!$D$49-Base!$D$54-Base!$D$55)/(1+Supuestos!$C$34)^2+(MIN(MAX(0,Base!$E$18*($A9-Base!$E$19)),Base!$E$25)*Base!$E$29*B$7+Base!$E$49-Base!$E$54-Base!$E$55)/(1+Supuestos!$C$34)^3)/1000000</x:f>
        <x:v>-123.74600194074463</x:v>
      </x:c>
      <x:c r="C9" s="118" t="n">
        <x:f>(-Base!$B$58+(MIN(MAX(0,Base!$C$18*($A9-Base!$C$19)),Base!$C$25)*Base!$C$29*C$7+Base!$C$49-Base!$C$54-Base!$C$55)/(1+Supuestos!$C$34)^1+(MIN(MAX(0,Base!$D$18*($A9-Base!$D$19)),Base!$D$25)*Base!$D$29*C$7+Base!$D$49-Base!$D$54-Base!$D$55)/(1+Supuestos!$C$34)^2+(MIN(MAX(0,Base!$E$18*($A9-Base!$E$19)),Base!$E$25)*Base!$E$29*C$7+Base!$E$49-Base!$E$54-Base!$E$55)/(1+Supuestos!$C$34)^3)/1000000</x:f>
        <x:v>-113.31754915156078</x:v>
      </x:c>
      <x:c r="D9" s="118" t="n">
        <x:f>(-Base!$B$58+(MIN(MAX(0,Base!$C$18*($A9-Base!$C$19)),Base!$C$25)*Base!$C$29*D$7+Base!$C$49-Base!$C$54-Base!$C$55)/(1+Supuestos!$C$34)^1+(MIN(MAX(0,Base!$D$18*($A9-Base!$D$19)),Base!$D$25)*Base!$D$29*D$7+Base!$D$49-Base!$D$54-Base!$D$55)/(1+Supuestos!$C$34)^2+(MIN(MAX(0,Base!$E$18*($A9-Base!$E$19)),Base!$E$25)*Base!$E$29*D$7+Base!$E$49-Base!$E$54-Base!$E$55)/(1+Supuestos!$C$34)^3)/1000000</x:f>
        <x:v>-102.88909636237693</x:v>
      </x:c>
      <x:c r="E9" s="118" t="n">
        <x:f>(-Base!$B$58+(MIN(MAX(0,Base!$C$18*($A9-Base!$C$19)),Base!$C$25)*Base!$C$29*E$7+Base!$C$49-Base!$C$54-Base!$C$55)/(1+Supuestos!$C$34)^1+(MIN(MAX(0,Base!$D$18*($A9-Base!$D$19)),Base!$D$25)*Base!$D$29*E$7+Base!$D$49-Base!$D$54-Base!$D$55)/(1+Supuestos!$C$34)^2+(MIN(MAX(0,Base!$E$18*($A9-Base!$E$19)),Base!$E$25)*Base!$E$29*E$7+Base!$E$49-Base!$E$54-Base!$E$55)/(1+Supuestos!$C$34)^3)/1000000</x:f>
        <x:v>-92.46064357319305</x:v>
      </x:c>
      <x:c r="F9" s="118" t="n">
        <x:f>(-Base!$B$58+(MIN(MAX(0,Base!$C$18*($A9-Base!$C$19)),Base!$C$25)*Base!$C$29*F$7+Base!$C$49-Base!$C$54-Base!$C$55)/(1+Supuestos!$C$34)^1+(MIN(MAX(0,Base!$D$18*($A9-Base!$D$19)),Base!$D$25)*Base!$D$29*F$7+Base!$D$49-Base!$D$54-Base!$D$55)/(1+Supuestos!$C$34)^2+(MIN(MAX(0,Base!$E$18*($A9-Base!$E$19)),Base!$E$25)*Base!$E$29*F$7+Base!$E$49-Base!$E$54-Base!$E$55)/(1+Supuestos!$C$34)^3)/1000000</x:f>
        <x:v>-82.0321907840092</x:v>
      </x:c>
      <x:c r="G9" s="118" t="n">
        <x:f>(-Base!$B$58+(MIN(MAX(0,Base!$C$18*($A9-Base!$C$19)),Base!$C$25)*Base!$C$29*G$7+Base!$C$49-Base!$C$54-Base!$C$55)/(1+Supuestos!$C$34)^1+(MIN(MAX(0,Base!$D$18*($A9-Base!$D$19)),Base!$D$25)*Base!$D$29*G$7+Base!$D$49-Base!$D$54-Base!$D$55)/(1+Supuestos!$C$34)^2+(MIN(MAX(0,Base!$E$18*($A9-Base!$E$19)),Base!$E$25)*Base!$E$29*G$7+Base!$E$49-Base!$E$54-Base!$E$55)/(1+Supuestos!$C$34)^3)/1000000</x:f>
        <x:v>-71.60373799482534</x:v>
      </x:c>
    </x:row>
    <x:row r="10" ht="20" customHeight="1">
      <x:c r="A10" s="52" t="n">
        <x:v>0.4</x:v>
      </x:c>
      <x:c r="B10" s="118" t="n">
        <x:f>(-Base!$B$58+(MIN(MAX(0,Base!$C$18*($A10-Base!$C$19)),Base!$C$25)*Base!$C$29*B$7+Base!$C$49-Base!$C$54-Base!$C$55)/(1+Supuestos!$C$34)^1+(MIN(MAX(0,Base!$D$18*($A10-Base!$D$19)),Base!$D$25)*Base!$D$29*B$7+Base!$D$49-Base!$D$54-Base!$D$55)/(1+Supuestos!$C$34)^2+(MIN(MAX(0,Base!$E$18*($A10-Base!$E$19)),Base!$E$25)*Base!$E$29*B$7+Base!$E$49-Base!$E$54-Base!$E$55)/(1+Supuestos!$C$34)^3)/1000000</x:f>
        <x:v>-103.69128503846797</x:v>
      </x:c>
      <x:c r="C10" s="118" t="n">
        <x:f>(-Base!$B$58+(MIN(MAX(0,Base!$C$18*($A10-Base!$C$19)),Base!$C$25)*Base!$C$29*C$7+Base!$C$49-Base!$C$54-Base!$C$55)/(1+Supuestos!$C$34)^1+(MIN(MAX(0,Base!$D$18*($A10-Base!$D$19)),Base!$D$25)*Base!$D$29*C$7+Base!$D$49-Base!$D$54-Base!$D$55)/(1+Supuestos!$C$34)^2+(MIN(MAX(0,Base!$E$18*($A10-Base!$E$19)),Base!$E$25)*Base!$E$29*C$7+Base!$E$49-Base!$E$54-Base!$E$55)/(1+Supuestos!$C$34)^3)/1000000</x:f>
        <x:v>-89.25188886882879</x:v>
      </x:c>
      <x:c r="D10" s="118" t="n">
        <x:f>(-Base!$B$58+(MIN(MAX(0,Base!$C$18*($A10-Base!$C$19)),Base!$C$25)*Base!$C$29*D$7+Base!$C$49-Base!$C$54-Base!$C$55)/(1+Supuestos!$C$34)^1+(MIN(MAX(0,Base!$D$18*($A10-Base!$D$19)),Base!$D$25)*Base!$D$29*D$7+Base!$D$49-Base!$D$54-Base!$D$55)/(1+Supuestos!$C$34)^2+(MIN(MAX(0,Base!$E$18*($A10-Base!$E$19)),Base!$E$25)*Base!$E$29*D$7+Base!$E$49-Base!$E$54-Base!$E$55)/(1+Supuestos!$C$34)^3)/1000000</x:f>
        <x:v>-74.81249269918959</x:v>
      </x:c>
      <x:c r="E10" s="118" t="n">
        <x:f>(-Base!$B$58+(MIN(MAX(0,Base!$C$18*($A10-Base!$C$19)),Base!$C$25)*Base!$C$29*E$7+Base!$C$49-Base!$C$54-Base!$C$55)/(1+Supuestos!$C$34)^1+(MIN(MAX(0,Base!$D$18*($A10-Base!$D$19)),Base!$D$25)*Base!$D$29*E$7+Base!$D$49-Base!$D$54-Base!$D$55)/(1+Supuestos!$C$34)^2+(MIN(MAX(0,Base!$E$18*($A10-Base!$E$19)),Base!$E$25)*Base!$E$29*E$7+Base!$E$49-Base!$E$54-Base!$E$55)/(1+Supuestos!$C$34)^3)/1000000</x:f>
        <x:v>-60.37309652955039</x:v>
      </x:c>
      <x:c r="F10" s="118" t="n">
        <x:f>(-Base!$B$58+(MIN(MAX(0,Base!$C$18*($A10-Base!$C$19)),Base!$C$25)*Base!$C$29*F$7+Base!$C$49-Base!$C$54-Base!$C$55)/(1+Supuestos!$C$34)^1+(MIN(MAX(0,Base!$D$18*($A10-Base!$D$19)),Base!$D$25)*Base!$D$29*F$7+Base!$D$49-Base!$D$54-Base!$D$55)/(1+Supuestos!$C$34)^2+(MIN(MAX(0,Base!$E$18*($A10-Base!$E$19)),Base!$E$25)*Base!$E$29*F$7+Base!$E$49-Base!$E$54-Base!$E$55)/(1+Supuestos!$C$34)^3)/1000000</x:f>
        <x:v>-45.933700359911185</x:v>
      </x:c>
      <x:c r="G10" s="118" t="n">
        <x:f>(-Base!$B$58+(MIN(MAX(0,Base!$C$18*($A10-Base!$C$19)),Base!$C$25)*Base!$C$29*G$7+Base!$C$49-Base!$C$54-Base!$C$55)/(1+Supuestos!$C$34)^1+(MIN(MAX(0,Base!$D$18*($A10-Base!$D$19)),Base!$D$25)*Base!$D$29*G$7+Base!$D$49-Base!$D$54-Base!$D$55)/(1+Supuestos!$C$34)^2+(MIN(MAX(0,Base!$E$18*($A10-Base!$E$19)),Base!$E$25)*Base!$E$29*G$7+Base!$E$49-Base!$E$54-Base!$E$55)/(1+Supuestos!$C$34)^3)/1000000</x:f>
        <x:v>-31.494304190272</x:v>
      </x:c>
    </x:row>
    <x:row r="11" ht="20" customHeight="1">
      <x:c r="A11" s="52" t="n">
        <x:v>0.45</x:v>
      </x:c>
      <x:c r="B11" s="118" t="n">
        <x:f>(-Base!$B$58+(MIN(MAX(0,Base!$C$18*($A11-Base!$C$19)),Base!$C$25)*Base!$C$29*B$7+Base!$C$49-Base!$C$54-Base!$C$55)/(1+Supuestos!$C$34)^1+(MIN(MAX(0,Base!$D$18*($A11-Base!$D$19)),Base!$D$25)*Base!$D$29*B$7+Base!$D$49-Base!$D$54-Base!$D$55)/(1+Supuestos!$C$34)^2+(MIN(MAX(0,Base!$E$18*($A11-Base!$E$19)),Base!$E$25)*Base!$E$29*B$7+Base!$E$49-Base!$E$54-Base!$E$55)/(1+Supuestos!$C$34)^3)/1000000</x:f>
        <x:v>-83.63656813619133</x:v>
      </x:c>
      <x:c r="C11" s="118" t="n">
        <x:f>(-Base!$B$58+(MIN(MAX(0,Base!$C$18*($A11-Base!$C$19)),Base!$C$25)*Base!$C$29*C$7+Base!$C$49-Base!$C$54-Base!$C$55)/(1+Supuestos!$C$34)^1+(MIN(MAX(0,Base!$D$18*($A11-Base!$D$19)),Base!$D$25)*Base!$D$29*C$7+Base!$D$49-Base!$D$54-Base!$D$55)/(1+Supuestos!$C$34)^2+(MIN(MAX(0,Base!$E$18*($A11-Base!$E$19)),Base!$E$25)*Base!$E$29*C$7+Base!$E$49-Base!$E$54-Base!$E$55)/(1+Supuestos!$C$34)^3)/1000000</x:f>
        <x:v>-65.18622858609679</x:v>
      </x:c>
      <x:c r="D11" s="118" t="n">
        <x:f>(-Base!$B$58+(MIN(MAX(0,Base!$C$18*($A11-Base!$C$19)),Base!$C$25)*Base!$C$29*D$7+Base!$C$49-Base!$C$54-Base!$C$55)/(1+Supuestos!$C$34)^1+(MIN(MAX(0,Base!$D$18*($A11-Base!$D$19)),Base!$D$25)*Base!$D$29*D$7+Base!$D$49-Base!$D$54-Base!$D$55)/(1+Supuestos!$C$34)^2+(MIN(MAX(0,Base!$E$18*($A11-Base!$E$19)),Base!$E$25)*Base!$E$29*D$7+Base!$E$49-Base!$E$54-Base!$E$55)/(1+Supuestos!$C$34)^3)/1000000</x:f>
        <x:v>-46.73588903600227</x:v>
      </x:c>
      <x:c r="E11" s="118" t="n">
        <x:f>(-Base!$B$58+(MIN(MAX(0,Base!$C$18*($A11-Base!$C$19)),Base!$C$25)*Base!$C$29*E$7+Base!$C$49-Base!$C$54-Base!$C$55)/(1+Supuestos!$C$34)^1+(MIN(MAX(0,Base!$D$18*($A11-Base!$D$19)),Base!$D$25)*Base!$D$29*E$7+Base!$D$49-Base!$D$54-Base!$D$55)/(1+Supuestos!$C$34)^2+(MIN(MAX(0,Base!$E$18*($A11-Base!$E$19)),Base!$E$25)*Base!$E$29*E$7+Base!$E$49-Base!$E$54-Base!$E$55)/(1+Supuestos!$C$34)^3)/1000000</x:f>
        <x:v>-28.285549485907733</x:v>
      </x:c>
      <x:c r="F11" s="118" t="n">
        <x:f>(-Base!$B$58+(MIN(MAX(0,Base!$C$18*($A11-Base!$C$19)),Base!$C$25)*Base!$C$29*F$7+Base!$C$49-Base!$C$54-Base!$C$55)/(1+Supuestos!$C$34)^1+(MIN(MAX(0,Base!$D$18*($A11-Base!$D$19)),Base!$D$25)*Base!$D$29*F$7+Base!$D$49-Base!$D$54-Base!$D$55)/(1+Supuestos!$C$34)^2+(MIN(MAX(0,Base!$E$18*($A11-Base!$E$19)),Base!$E$25)*Base!$E$29*F$7+Base!$E$49-Base!$E$54-Base!$E$55)/(1+Supuestos!$C$34)^3)/1000000</x:f>
        <x:v>-9.83520993581321</x:v>
      </x:c>
      <x:c r="G11" s="118" t="n">
        <x:f>(-Base!$B$58+(MIN(MAX(0,Base!$C$18*($A11-Base!$C$19)),Base!$C$25)*Base!$C$29*G$7+Base!$C$49-Base!$C$54-Base!$C$55)/(1+Supuestos!$C$34)^1+(MIN(MAX(0,Base!$D$18*($A11-Base!$D$19)),Base!$D$25)*Base!$D$29*G$7+Base!$D$49-Base!$D$54-Base!$D$55)/(1+Supuestos!$C$34)^2+(MIN(MAX(0,Base!$E$18*($A11-Base!$E$19)),Base!$E$25)*Base!$E$29*G$7+Base!$E$49-Base!$E$54-Base!$E$55)/(1+Supuestos!$C$34)^3)/1000000</x:f>
        <x:v>8.615129614281305</x:v>
      </x:c>
    </x:row>
    <x:row r="12" ht="20" customHeight="1">
      <x:c r="A12" s="52" t="n">
        <x:v>0.5</x:v>
      </x:c>
      <x:c r="B12" s="118" t="n">
        <x:f>(-Base!$B$58+(MIN(MAX(0,Base!$C$18*($A12-Base!$C$19)),Base!$C$25)*Base!$C$29*B$7+Base!$C$49-Base!$C$54-Base!$C$55)/(1+Supuestos!$C$34)^1+(MIN(MAX(0,Base!$D$18*($A12-Base!$D$19)),Base!$D$25)*Base!$D$29*B$7+Base!$D$49-Base!$D$54-Base!$D$55)/(1+Supuestos!$C$34)^2+(MIN(MAX(0,Base!$E$18*($A12-Base!$E$19)),Base!$E$25)*Base!$E$29*B$7+Base!$E$49-Base!$E$54-Base!$E$55)/(1+Supuestos!$C$34)^3)/1000000</x:f>
        <x:v>-63.58185123391464</x:v>
      </x:c>
      <x:c r="C12" s="118" t="n">
        <x:f>(-Base!$B$58+(MIN(MAX(0,Base!$C$18*($A12-Base!$C$19)),Base!$C$25)*Base!$C$29*C$7+Base!$C$49-Base!$C$54-Base!$C$55)/(1+Supuestos!$C$34)^1+(MIN(MAX(0,Base!$D$18*($A12-Base!$D$19)),Base!$D$25)*Base!$D$29*C$7+Base!$D$49-Base!$D$54-Base!$D$55)/(1+Supuestos!$C$34)^2+(MIN(MAX(0,Base!$E$18*($A12-Base!$E$19)),Base!$E$25)*Base!$E$29*C$7+Base!$E$49-Base!$E$54-Base!$E$55)/(1+Supuestos!$C$34)^3)/1000000</x:f>
        <x:v>-41.12056830336479</x:v>
      </x:c>
      <x:c r="D12" s="118" t="n">
        <x:f>(-Base!$B$58+(MIN(MAX(0,Base!$C$18*($A12-Base!$C$19)),Base!$C$25)*Base!$C$29*D$7+Base!$C$49-Base!$C$54-Base!$C$55)/(1+Supuestos!$C$34)^1+(MIN(MAX(0,Base!$D$18*($A12-Base!$D$19)),Base!$D$25)*Base!$D$29*D$7+Base!$D$49-Base!$D$54-Base!$D$55)/(1+Supuestos!$C$34)^2+(MIN(MAX(0,Base!$E$18*($A12-Base!$E$19)),Base!$E$25)*Base!$E$29*D$7+Base!$E$49-Base!$E$54-Base!$E$55)/(1+Supuestos!$C$34)^3)/1000000</x:f>
        <x:v>-18.65928537281494</x:v>
      </x:c>
      <x:c r="E12" s="118" t="n">
        <x:f>(-Base!$B$58+(MIN(MAX(0,Base!$C$18*($A12-Base!$C$19)),Base!$C$25)*Base!$C$29*E$7+Base!$C$49-Base!$C$54-Base!$C$55)/(1+Supuestos!$C$34)^1+(MIN(MAX(0,Base!$D$18*($A12-Base!$D$19)),Base!$D$25)*Base!$D$29*E$7+Base!$D$49-Base!$D$54-Base!$D$55)/(1+Supuestos!$C$34)^2+(MIN(MAX(0,Base!$E$18*($A12-Base!$E$19)),Base!$E$25)*Base!$E$29*E$7+Base!$E$49-Base!$E$54-Base!$E$55)/(1+Supuestos!$C$34)^3)/1000000</x:f>
        <x:v>3.801997557734944</x:v>
      </x:c>
      <x:c r="F12" s="118" t="n">
        <x:f>(-Base!$B$58+(MIN(MAX(0,Base!$C$18*($A12-Base!$C$19)),Base!$C$25)*Base!$C$29*F$7+Base!$C$49-Base!$C$54-Base!$C$55)/(1+Supuestos!$C$34)^1+(MIN(MAX(0,Base!$D$18*($A12-Base!$D$19)),Base!$D$25)*Base!$D$29*F$7+Base!$D$49-Base!$D$54-Base!$D$55)/(1+Supuestos!$C$34)^2+(MIN(MAX(0,Base!$E$18*($A12-Base!$E$19)),Base!$E$25)*Base!$E$29*F$7+Base!$E$49-Base!$E$54-Base!$E$55)/(1+Supuestos!$C$34)^3)/1000000</x:f>
        <x:v>26.26328048828478</x:v>
      </x:c>
      <x:c r="G12" s="118" t="n">
        <x:f>(-Base!$B$58+(MIN(MAX(0,Base!$C$18*($A12-Base!$C$19)),Base!$C$25)*Base!$C$29*G$7+Base!$C$49-Base!$C$54-Base!$C$55)/(1+Supuestos!$C$34)^1+(MIN(MAX(0,Base!$D$18*($A12-Base!$D$19)),Base!$D$25)*Base!$D$29*G$7+Base!$D$49-Base!$D$54-Base!$D$55)/(1+Supuestos!$C$34)^2+(MIN(MAX(0,Base!$E$18*($A12-Base!$E$19)),Base!$E$25)*Base!$E$29*G$7+Base!$E$49-Base!$E$54-Base!$E$55)/(1+Supuestos!$C$34)^3)/1000000</x:f>
        <x:v>48.72456341883464</x:v>
      </x:c>
    </x:row>
    <x:row r="13" ht="20" customHeight="1">
      <x:c r="A13" s="52" t="n">
        <x:v>0.55</x:v>
      </x:c>
      <x:c r="B13" s="118" t="n">
        <x:f>(-Base!$B$58+(MIN(MAX(0,Base!$C$18*($A13-Base!$C$19)),Base!$C$25)*Base!$C$29*B$7+Base!$C$49-Base!$C$54-Base!$C$55)/(1+Supuestos!$C$34)^1+(MIN(MAX(0,Base!$D$18*($A13-Base!$D$19)),Base!$D$25)*Base!$D$29*B$7+Base!$D$49-Base!$D$54-Base!$D$55)/(1+Supuestos!$C$34)^2+(MIN(MAX(0,Base!$E$18*($A13-Base!$E$19)),Base!$E$25)*Base!$E$29*B$7+Base!$E$49-Base!$E$54-Base!$E$55)/(1+Supuestos!$C$34)^3)/1000000</x:f>
        <x:v>-43.527134331637996</x:v>
      </x:c>
      <x:c r="C13" s="118" t="n">
        <x:f>(-Base!$B$58+(MIN(MAX(0,Base!$C$18*($A13-Base!$C$19)),Base!$C$25)*Base!$C$29*C$7+Base!$C$49-Base!$C$54-Base!$C$55)/(1+Supuestos!$C$34)^1+(MIN(MAX(0,Base!$D$18*($A13-Base!$D$19)),Base!$D$25)*Base!$D$29*C$7+Base!$D$49-Base!$D$54-Base!$D$55)/(1+Supuestos!$C$34)^2+(MIN(MAX(0,Base!$E$18*($A13-Base!$E$19)),Base!$E$25)*Base!$E$29*C$7+Base!$E$49-Base!$E$54-Base!$E$55)/(1+Supuestos!$C$34)^3)/1000000</x:f>
        <x:v>-17.054908020632805</x:v>
      </x:c>
      <x:c r="D13" s="118" t="n">
        <x:f>(-Base!$B$58+(MIN(MAX(0,Base!$C$18*($A13-Base!$C$19)),Base!$C$25)*Base!$C$29*D$7+Base!$C$49-Base!$C$54-Base!$C$55)/(1+Supuestos!$C$34)^1+(MIN(MAX(0,Base!$D$18*($A13-Base!$D$19)),Base!$D$25)*Base!$D$29*D$7+Base!$D$49-Base!$D$54-Base!$D$55)/(1+Supuestos!$C$34)^2+(MIN(MAX(0,Base!$E$18*($A13-Base!$E$19)),Base!$E$25)*Base!$E$29*D$7+Base!$E$49-Base!$E$54-Base!$E$55)/(1+Supuestos!$C$34)^3)/1000000</x:f>
        <x:v>9.417318290372378</x:v>
      </x:c>
      <x:c r="E13" s="118" t="n">
        <x:f>(-Base!$B$58+(MIN(MAX(0,Base!$C$18*($A13-Base!$C$19)),Base!$C$25)*Base!$C$29*E$7+Base!$C$49-Base!$C$54-Base!$C$55)/(1+Supuestos!$C$34)^1+(MIN(MAX(0,Base!$D$18*($A13-Base!$D$19)),Base!$D$25)*Base!$D$29*E$7+Base!$D$49-Base!$D$54-Base!$D$55)/(1+Supuestos!$C$34)^2+(MIN(MAX(0,Base!$E$18*($A13-Base!$E$19)),Base!$E$25)*Base!$E$29*E$7+Base!$E$49-Base!$E$54-Base!$E$55)/(1+Supuestos!$C$34)^3)/1000000</x:f>
        <x:v>35.889544601377594</x:v>
      </x:c>
      <x:c r="F13" s="118" t="n">
        <x:f>(-Base!$B$58+(MIN(MAX(0,Base!$C$18*($A13-Base!$C$19)),Base!$C$25)*Base!$C$29*F$7+Base!$C$49-Base!$C$54-Base!$C$55)/(1+Supuestos!$C$34)^1+(MIN(MAX(0,Base!$D$18*($A13-Base!$D$19)),Base!$D$25)*Base!$D$29*F$7+Base!$D$49-Base!$D$54-Base!$D$55)/(1+Supuestos!$C$34)^2+(MIN(MAX(0,Base!$E$18*($A13-Base!$E$19)),Base!$E$25)*Base!$E$29*F$7+Base!$E$49-Base!$E$54-Base!$E$55)/(1+Supuestos!$C$34)^3)/1000000</x:f>
        <x:v>62.36177091238277</x:v>
      </x:c>
      <x:c r="G13" s="118" t="n">
        <x:f>(-Base!$B$58+(MIN(MAX(0,Base!$C$18*($A13-Base!$C$19)),Base!$C$25)*Base!$C$29*G$7+Base!$C$49-Base!$C$54-Base!$C$55)/(1+Supuestos!$C$34)^1+(MIN(MAX(0,Base!$D$18*($A13-Base!$D$19)),Base!$D$25)*Base!$D$29*G$7+Base!$D$49-Base!$D$54-Base!$D$55)/(1+Supuestos!$C$34)^2+(MIN(MAX(0,Base!$E$18*($A13-Base!$E$19)),Base!$E$25)*Base!$E$29*G$7+Base!$E$49-Base!$E$54-Base!$E$55)/(1+Supuestos!$C$34)^3)/1000000</x:f>
        <x:v>88.83399722338795</x:v>
      </x:c>
    </x:row>
    <x:row r="14" ht="20" customHeight="1">
      <x:c r="A14" s="52" t="n">
        <x:v>0.6</x:v>
      </x:c>
      <x:c r="B14" s="118" t="n">
        <x:f>(-Base!$B$58+(MIN(MAX(0,Base!$C$18*($A14-Base!$C$19)),Base!$C$25)*Base!$C$29*B$7+Base!$C$49-Base!$C$54-Base!$C$55)/(1+Supuestos!$C$34)^1+(MIN(MAX(0,Base!$D$18*($A14-Base!$D$19)),Base!$D$25)*Base!$D$29*B$7+Base!$D$49-Base!$D$54-Base!$D$55)/(1+Supuestos!$C$34)^2+(MIN(MAX(0,Base!$E$18*($A14-Base!$E$19)),Base!$E$25)*Base!$E$29*B$7+Base!$E$49-Base!$E$54-Base!$E$55)/(1+Supuestos!$C$34)^3)/1000000</x:f>
        <x:v>-23.47241742936135</x:v>
      </x:c>
      <x:c r="C14" s="118" t="n">
        <x:f>(-Base!$B$58+(MIN(MAX(0,Base!$C$18*($A14-Base!$C$19)),Base!$C$25)*Base!$C$29*C$7+Base!$C$49-Base!$C$54-Base!$C$55)/(1+Supuestos!$C$34)^1+(MIN(MAX(0,Base!$D$18*($A14-Base!$D$19)),Base!$D$25)*Base!$D$29*C$7+Base!$D$49-Base!$D$54-Base!$D$55)/(1+Supuestos!$C$34)^2+(MIN(MAX(0,Base!$E$18*($A14-Base!$E$19)),Base!$E$25)*Base!$E$29*C$7+Base!$E$49-Base!$E$54-Base!$E$55)/(1+Supuestos!$C$34)^3)/1000000</x:f>
        <x:v>7.010752262099176</x:v>
      </x:c>
      <x:c r="D14" s="118" t="n">
        <x:f>(-Base!$B$58+(MIN(MAX(0,Base!$C$18*($A14-Base!$C$19)),Base!$C$25)*Base!$C$29*D$7+Base!$C$49-Base!$C$54-Base!$C$55)/(1+Supuestos!$C$34)^1+(MIN(MAX(0,Base!$D$18*($A14-Base!$D$19)),Base!$D$25)*Base!$D$29*D$7+Base!$D$49-Base!$D$54-Base!$D$55)/(1+Supuestos!$C$34)^2+(MIN(MAX(0,Base!$E$18*($A14-Base!$E$19)),Base!$E$25)*Base!$E$29*D$7+Base!$E$49-Base!$E$54-Base!$E$55)/(1+Supuestos!$C$34)^3)/1000000</x:f>
        <x:v>37.4939219535597</x:v>
      </x:c>
      <x:c r="E14" s="118" t="n">
        <x:f>(-Base!$B$58+(MIN(MAX(0,Base!$C$18*($A14-Base!$C$19)),Base!$C$25)*Base!$C$29*E$7+Base!$C$49-Base!$C$54-Base!$C$55)/(1+Supuestos!$C$34)^1+(MIN(MAX(0,Base!$D$18*($A14-Base!$D$19)),Base!$D$25)*Base!$D$29*E$7+Base!$D$49-Base!$D$54-Base!$D$55)/(1+Supuestos!$C$34)^2+(MIN(MAX(0,Base!$E$18*($A14-Base!$E$19)),Base!$E$25)*Base!$E$29*E$7+Base!$E$49-Base!$E$54-Base!$E$55)/(1+Supuestos!$C$34)^3)/1000000</x:f>
        <x:v>67.97709164502022</x:v>
      </x:c>
      <x:c r="F14" s="118" t="n">
        <x:f>(-Base!$B$58+(MIN(MAX(0,Base!$C$18*($A14-Base!$C$19)),Base!$C$25)*Base!$C$29*F$7+Base!$C$49-Base!$C$54-Base!$C$55)/(1+Supuestos!$C$34)^1+(MIN(MAX(0,Base!$D$18*($A14-Base!$D$19)),Base!$D$25)*Base!$D$29*F$7+Base!$D$49-Base!$D$54-Base!$D$55)/(1+Supuestos!$C$34)^2+(MIN(MAX(0,Base!$E$18*($A14-Base!$E$19)),Base!$E$25)*Base!$E$29*F$7+Base!$E$49-Base!$E$54-Base!$E$55)/(1+Supuestos!$C$34)^3)/1000000</x:f>
        <x:v>98.46026133648074</x:v>
      </x:c>
      <x:c r="G14" s="118" t="n">
        <x:f>(-Base!$B$58+(MIN(MAX(0,Base!$C$18*($A14-Base!$C$19)),Base!$C$25)*Base!$C$29*G$7+Base!$C$49-Base!$C$54-Base!$C$55)/(1+Supuestos!$C$34)^1+(MIN(MAX(0,Base!$D$18*($A14-Base!$D$19)),Base!$D$25)*Base!$D$29*G$7+Base!$D$49-Base!$D$54-Base!$D$55)/(1+Supuestos!$C$34)^2+(MIN(MAX(0,Base!$E$18*($A14-Base!$E$19)),Base!$E$25)*Base!$E$29*G$7+Base!$E$49-Base!$E$54-Base!$E$55)/(1+Supuestos!$C$34)^3)/1000000</x:f>
        <x:v>128.94343102794124</x:v>
      </x:c>
    </x:row>
    <x:row r="15" ht="20" customHeight="1">
      <x:c r="A15" s="2"/>
      <x:c r="B15" s="2"/>
      <x:c r="C15" s="2"/>
      <x:c r="D15" s="2"/>
      <x:c r="E15" s="2"/>
      <x:c r="F15" s="2"/>
      <x:c r="G15" s="2"/>
    </x:row>
    <x:row r="16" ht="20" customHeight="1">
      <x:c r="A16" s="2"/>
      <x:c r="B16" s="2"/>
      <x:c r="C16" s="2"/>
      <x:c r="D16" s="2"/>
      <x:c r="E16" s="2"/>
      <x:c r="F16" s="2"/>
      <x:c r="G16" s="2"/>
    </x:row>
    <x:row r="17" ht="24" customHeight="1">
      <x:c r="A17" s="30" t="str">
        <x:v>PUNTO DE EQUILIBRIO APROXIMADO — SIN SATURACIÓN DE CAPACIDAD</x:v>
      </x:c>
      <x:c r="B17" s="30"/>
      <x:c r="C17" s="30"/>
      <x:c r="D17" s="30"/>
      <x:c r="E17" s="30"/>
      <x:c r="F17" s="30"/>
      <x:c r="G17" s="30"/>
      <x:c r="H17" s="96"/>
    </x:row>
    <x:row r="18" ht="20" customHeight="1">
      <x:c r="A18" s="2" t="str">
        <x:v>Tratamiento mínimo (%) con margen BASE</x:v>
      </x:c>
      <x:c r="B18" s="52" t="n">
        <x:f>Base!C19+(Base!$B$58+(Base!$C$54+Base!$C$55-Base!$C$49)/(1+Supuestos!$C$34)^1+(Base!$D$54+Base!$D$55-Base!$D$49)/(1+Supuestos!$C$34)^2+(Base!$E$54+Base!$E$55-Base!$E$49)/(1+Supuestos!$C$34)^3)/(sum(Base!$C$18*Base!$C$29*Base!$C$31/(1+Supuestos!$C$34)^1,Base!$D$18*Base!$D$29*Base!$D$31/(1+Supuestos!$C$34)^2,Base!$E$18*Base!$E$29*Base!$E$31/(1+Supuestos!$C$34)^3))</x:f>
        <x:v>0.5332292423910235</x:v>
      </x:c>
      <x:c r="C18" s="2"/>
      <x:c r="D18" s="2" t="str">
        <x:v>No incluye saturación, redondeos ni incertidumbre.</x:v>
      </x:c>
      <x:c r="E18" s="2"/>
      <x:c r="F18" s="2"/>
      <x:c r="G18" s="2"/>
    </x:row>
    <x:row r="19" ht="20" customHeight="1">
      <x:c r="A19" s="2"/>
      <x:c r="B19" s="2"/>
      <x:c r="C19" s="2"/>
      <x:c r="D19" s="2"/>
      <x:c r="E19" s="2"/>
      <x:c r="F19" s="2"/>
      <x:c r="G19" s="2"/>
    </x:row>
    <x:row r="20" ht="24" customHeight="1">
      <x:c r="A20" s="30" t="str">
        <x:v>VPN 3 AÑOS — CUPOS EXTRA POR SEDE/MES × TASA TRATAMIENTO</x:v>
      </x:c>
      <x:c r="B20" s="30"/>
      <x:c r="C20" s="30"/>
      <x:c r="D20" s="30"/>
      <x:c r="E20" s="30"/>
      <x:c r="F20" s="30"/>
      <x:c r="G20" s="30"/>
      <x:c r="H20" s="96"/>
    </x:row>
    <x:row r="21" ht="20" customHeight="1">
      <x:c r="A21" s="2"/>
      <x:c r="B21" s="2"/>
      <x:c r="C21" s="2"/>
      <x:c r="D21" s="2"/>
      <x:c r="E21" s="2"/>
      <x:c r="F21" s="2"/>
      <x:c r="G21" s="2"/>
    </x:row>
    <x:row r="22" ht="20" customHeight="1">
      <x:c r="A22" s="2"/>
      <x:c r="B22" s="2"/>
      <x:c r="C22" s="2"/>
      <x:c r="D22" s="2"/>
      <x:c r="E22" s="2"/>
      <x:c r="F22" s="2"/>
      <x:c r="G22" s="2"/>
    </x:row>
    <x:row r="23" ht="20" customHeight="1">
      <x:c r="A23" s="15" t="str">
        <x:v>Capacidad \ tratamiento</x:v>
      </x:c>
      <x:c r="B23" s="121" t="n">
        <x:v>0.3</x:v>
      </x:c>
      <x:c r="C23" s="121" t="n">
        <x:v>0.35</x:v>
      </x:c>
      <x:c r="D23" s="121" t="n">
        <x:v>0.4</x:v>
      </x:c>
      <x:c r="E23" s="121" t="n">
        <x:v>0.45</x:v>
      </x:c>
      <x:c r="F23" s="121" t="n">
        <x:v>0.5</x:v>
      </x:c>
      <x:c r="G23" s="121" t="n">
        <x:v>0.55</x:v>
      </x:c>
    </x:row>
    <x:row r="24" ht="20" customHeight="1">
      <x:c r="A24" s="2" t="n">
        <x:v>2</x:v>
      </x:c>
      <x:c r="B24" s="118" t="n">
        <x:f>(-Base!$B$58+(MIN(MAX(0,Base!$C$18*(B$23-Base!$C$19)),Supuestos!$C$5*$A24*12*Base!$C$6)*Base!$C$29*Base!$C$31+Base!$C$49-Base!$C$54-Base!$C$55)/(1+Supuestos!$C$34)^1+(MIN(MAX(0,Base!$D$18*(B$23-Base!$D$19)),Supuestos!$C$5*$A24*12*Base!$D$6)*Base!$D$29*Base!$D$31+Base!$D$49-Base!$D$54-Base!$D$55)/(1+Supuestos!$C$34)^2+(MIN(MAX(0,Base!$E$18*(B$23-Base!$E$19)),Supuestos!$C$5*$A24*12*Base!$E$6)*Base!$E$29*Base!$E$31+Base!$E$49-Base!$E$54-Base!$E$55)/(1+Supuestos!$C$34)^3)/1000000</x:f>
        <x:v>-130.96570002556425</x:v>
      </x:c>
      <x:c r="C24" s="118" t="n">
        <x:f>(-Base!$B$58+(MIN(MAX(0,Base!$C$18*(C$23-Base!$C$19)),Supuestos!$C$5*$A24*12*Base!$C$6)*Base!$C$29*Base!$C$31+Base!$C$49-Base!$C$54-Base!$C$55)/(1+Supuestos!$C$34)^1+(MIN(MAX(0,Base!$D$18*(C$23-Base!$D$19)),Supuestos!$C$5*$A24*12*Base!$D$6)*Base!$D$29*Base!$D$31+Base!$D$49-Base!$D$54-Base!$D$55)/(1+Supuestos!$C$34)^2+(MIN(MAX(0,Base!$E$18*(C$23-Base!$E$19)),Supuestos!$C$5*$A24*12*Base!$E$6)*Base!$E$29*Base!$E$31+Base!$E$49-Base!$E$54-Base!$E$55)/(1+Supuestos!$C$34)^3)/1000000</x:f>
        <x:v>-124.56452133172023</x:v>
      </x:c>
      <x:c r="D24" s="118" t="n">
        <x:f>(-Base!$B$58+(MIN(MAX(0,Base!$C$18*(D$23-Base!$C$19)),Supuestos!$C$5*$A24*12*Base!$C$6)*Base!$C$29*Base!$C$31+Base!$C$49-Base!$C$54-Base!$C$55)/(1+Supuestos!$C$34)^1+(MIN(MAX(0,Base!$D$18*(D$23-Base!$D$19)),Supuestos!$C$5*$A24*12*Base!$D$6)*Base!$D$29*Base!$D$31+Base!$D$49-Base!$D$54-Base!$D$55)/(1+Supuestos!$C$34)^2+(MIN(MAX(0,Base!$E$18*(D$23-Base!$E$19)),Supuestos!$C$5*$A24*12*Base!$E$6)*Base!$E$29*Base!$E$31+Base!$E$49-Base!$E$54-Base!$E$55)/(1+Supuestos!$C$34)^3)/1000000</x:f>
        <x:v>-124.56452133172023</x:v>
      </x:c>
      <x:c r="E24" s="118" t="n">
        <x:f>(-Base!$B$58+(MIN(MAX(0,Base!$C$18*(E$23-Base!$C$19)),Supuestos!$C$5*$A24*12*Base!$C$6)*Base!$C$29*Base!$C$31+Base!$C$49-Base!$C$54-Base!$C$55)/(1+Supuestos!$C$34)^1+(MIN(MAX(0,Base!$D$18*(E$23-Base!$D$19)),Supuestos!$C$5*$A24*12*Base!$D$6)*Base!$D$29*Base!$D$31+Base!$D$49-Base!$D$54-Base!$D$55)/(1+Supuestos!$C$34)^2+(MIN(MAX(0,Base!$E$18*(E$23-Base!$E$19)),Supuestos!$C$5*$A24*12*Base!$E$6)*Base!$E$29*Base!$E$31+Base!$E$49-Base!$E$54-Base!$E$55)/(1+Supuestos!$C$34)^3)/1000000</x:f>
        <x:v>-124.56452133172023</x:v>
      </x:c>
      <x:c r="F24" s="118" t="n">
        <x:f>(-Base!$B$58+(MIN(MAX(0,Base!$C$18*(F$23-Base!$C$19)),Supuestos!$C$5*$A24*12*Base!$C$6)*Base!$C$29*Base!$C$31+Base!$C$49-Base!$C$54-Base!$C$55)/(1+Supuestos!$C$34)^1+(MIN(MAX(0,Base!$D$18*(F$23-Base!$D$19)),Supuestos!$C$5*$A24*12*Base!$D$6)*Base!$D$29*Base!$D$31+Base!$D$49-Base!$D$54-Base!$D$55)/(1+Supuestos!$C$34)^2+(MIN(MAX(0,Base!$E$18*(F$23-Base!$E$19)),Supuestos!$C$5*$A24*12*Base!$E$6)*Base!$E$29*Base!$E$31+Base!$E$49-Base!$E$54-Base!$E$55)/(1+Supuestos!$C$34)^3)/1000000</x:f>
        <x:v>-124.56452133172023</x:v>
      </x:c>
      <x:c r="G24" s="118" t="n">
        <x:f>(-Base!$B$58+(MIN(MAX(0,Base!$C$18*(G$23-Base!$C$19)),Supuestos!$C$5*$A24*12*Base!$C$6)*Base!$C$29*Base!$C$31+Base!$C$49-Base!$C$54-Base!$C$55)/(1+Supuestos!$C$34)^1+(MIN(MAX(0,Base!$D$18*(G$23-Base!$D$19)),Supuestos!$C$5*$A24*12*Base!$D$6)*Base!$D$29*Base!$D$31+Base!$D$49-Base!$D$54-Base!$D$55)/(1+Supuestos!$C$34)^2+(MIN(MAX(0,Base!$E$18*(G$23-Base!$E$19)),Supuestos!$C$5*$A24*12*Base!$E$6)*Base!$E$29*Base!$E$31+Base!$E$49-Base!$E$54-Base!$E$55)/(1+Supuestos!$C$34)^3)/1000000</x:f>
        <x:v>-124.56452133172023</x:v>
      </x:c>
    </x:row>
    <x:row r="25" ht="20" customHeight="1">
      <x:c r="A25" s="2" t="n">
        <x:v>4</x:v>
      </x:c>
      <x:c r="B25" s="118" t="n">
        <x:f>(-Base!$B$58+(MIN(MAX(0,Base!$C$18*(B$23-Base!$C$19)),Supuestos!$C$5*$A25*12*Base!$C$6)*Base!$C$29*Base!$C$31+Base!$C$49-Base!$C$54-Base!$C$55)/(1+Supuestos!$C$34)^1+(MIN(MAX(0,Base!$D$18*(B$23-Base!$D$19)),Supuestos!$C$5*$A25*12*Base!$D$6)*Base!$D$29*Base!$D$31+Base!$D$49-Base!$D$54-Base!$D$55)/(1+Supuestos!$C$34)^2+(MIN(MAX(0,Base!$E$18*(B$23-Base!$E$19)),Supuestos!$C$5*$A25*12*Base!$E$6)*Base!$E$29*Base!$E$31+Base!$E$49-Base!$E$54-Base!$E$55)/(1+Supuestos!$C$34)^3)/1000000</x:f>
        <x:v>-130.96570002556425</x:v>
      </x:c>
      <x:c r="C25" s="118" t="n">
        <x:f>(-Base!$B$58+(MIN(MAX(0,Base!$C$18*(C$23-Base!$C$19)),Supuestos!$C$5*$A25*12*Base!$C$6)*Base!$C$29*Base!$C$31+Base!$C$49-Base!$C$54-Base!$C$55)/(1+Supuestos!$C$34)^1+(MIN(MAX(0,Base!$D$18*(C$23-Base!$D$19)),Supuestos!$C$5*$A25*12*Base!$D$6)*Base!$D$29*Base!$D$31+Base!$D$49-Base!$D$54-Base!$D$55)/(1+Supuestos!$C$34)^2+(MIN(MAX(0,Base!$E$18*(C$23-Base!$E$19)),Supuestos!$C$5*$A25*12*Base!$E$6)*Base!$E$29*Base!$E$31+Base!$E$49-Base!$E$54-Base!$E$55)/(1+Supuestos!$C$34)^3)/1000000</x:f>
        <x:v>-102.88909636237693</x:v>
      </x:c>
      <x:c r="D25" s="118" t="n">
        <x:f>(-Base!$B$58+(MIN(MAX(0,Base!$C$18*(D$23-Base!$C$19)),Supuestos!$C$5*$A25*12*Base!$C$6)*Base!$C$29*Base!$C$31+Base!$C$49-Base!$C$54-Base!$C$55)/(1+Supuestos!$C$34)^1+(MIN(MAX(0,Base!$D$18*(D$23-Base!$D$19)),Supuestos!$C$5*$A25*12*Base!$D$6)*Base!$D$29*Base!$D$31+Base!$D$49-Base!$D$54-Base!$D$55)/(1+Supuestos!$C$34)^2+(MIN(MAX(0,Base!$E$18*(D$23-Base!$E$19)),Supuestos!$C$5*$A25*12*Base!$E$6)*Base!$E$29*Base!$E$31+Base!$E$49-Base!$E$54-Base!$E$55)/(1+Supuestos!$C$34)^3)/1000000</x:f>
        <x:v>-79.58039012876141</x:v>
      </x:c>
      <x:c r="E25" s="118" t="n">
        <x:f>(-Base!$B$58+(MIN(MAX(0,Base!$C$18*(E$23-Base!$C$19)),Supuestos!$C$5*$A25*12*Base!$C$6)*Base!$C$29*Base!$C$31+Base!$C$49-Base!$C$54-Base!$C$55)/(1+Supuestos!$C$34)^1+(MIN(MAX(0,Base!$D$18*(E$23-Base!$D$19)),Supuestos!$C$5*$A25*12*Base!$D$6)*Base!$D$29*Base!$D$31+Base!$D$49-Base!$D$54-Base!$D$55)/(1+Supuestos!$C$34)^2+(MIN(MAX(0,Base!$E$18*(E$23-Base!$E$19)),Supuestos!$C$5*$A25*12*Base!$E$6)*Base!$E$29*Base!$E$31+Base!$E$49-Base!$E$54-Base!$E$55)/(1+Supuestos!$C$34)^3)/1000000</x:f>
        <x:v>-73.66421895068959</x:v>
      </x:c>
      <x:c r="F25" s="118" t="n">
        <x:f>(-Base!$B$58+(MIN(MAX(0,Base!$C$18*(F$23-Base!$C$19)),Supuestos!$C$5*$A25*12*Base!$C$6)*Base!$C$29*Base!$C$31+Base!$C$49-Base!$C$54-Base!$C$55)/(1+Supuestos!$C$34)^1+(MIN(MAX(0,Base!$D$18*(F$23-Base!$D$19)),Supuestos!$C$5*$A25*12*Base!$D$6)*Base!$D$29*Base!$D$31+Base!$D$49-Base!$D$54-Base!$D$55)/(1+Supuestos!$C$34)^2+(MIN(MAX(0,Base!$E$18*(F$23-Base!$E$19)),Supuestos!$C$5*$A25*12*Base!$E$6)*Base!$E$29*Base!$E$31+Base!$E$49-Base!$E$54-Base!$E$55)/(1+Supuestos!$C$34)^3)/1000000</x:f>
        <x:v>-73.24077677677654</x:v>
      </x:c>
      <x:c r="G25" s="118" t="n">
        <x:f>(-Base!$B$58+(MIN(MAX(0,Base!$C$18*(G$23-Base!$C$19)),Supuestos!$C$5*$A25*12*Base!$C$6)*Base!$C$29*Base!$C$31+Base!$C$49-Base!$C$54-Base!$C$55)/(1+Supuestos!$C$34)^1+(MIN(MAX(0,Base!$D$18*(G$23-Base!$D$19)),Supuestos!$C$5*$A25*12*Base!$D$6)*Base!$D$29*Base!$D$31+Base!$D$49-Base!$D$54-Base!$D$55)/(1+Supuestos!$C$34)^2+(MIN(MAX(0,Base!$E$18*(G$23-Base!$E$19)),Supuestos!$C$5*$A25*12*Base!$E$6)*Base!$E$29*Base!$E$31+Base!$E$49-Base!$E$54-Base!$E$55)/(1+Supuestos!$C$34)^3)/1000000</x:f>
        <x:v>-73.24077677677654</x:v>
      </x:c>
    </x:row>
    <x:row r="26" ht="20" customHeight="1">
      <x:c r="A26" s="2" t="n">
        <x:v>6</x:v>
      </x:c>
      <x:c r="B26" s="118" t="n">
        <x:f>(-Base!$B$58+(MIN(MAX(0,Base!$C$18*(B$23-Base!$C$19)),Supuestos!$C$5*$A26*12*Base!$C$6)*Base!$C$29*Base!$C$31+Base!$C$49-Base!$C$54-Base!$C$55)/(1+Supuestos!$C$34)^1+(MIN(MAX(0,Base!$D$18*(B$23-Base!$D$19)),Supuestos!$C$5*$A26*12*Base!$D$6)*Base!$D$29*Base!$D$31+Base!$D$49-Base!$D$54-Base!$D$55)/(1+Supuestos!$C$34)^2+(MIN(MAX(0,Base!$E$18*(B$23-Base!$E$19)),Supuestos!$C$5*$A26*12*Base!$E$6)*Base!$E$29*Base!$E$31+Base!$E$49-Base!$E$54-Base!$E$55)/(1+Supuestos!$C$34)^3)/1000000</x:f>
        <x:v>-130.96570002556425</x:v>
      </x:c>
      <x:c r="C26" s="118" t="n">
        <x:f>(-Base!$B$58+(MIN(MAX(0,Base!$C$18*(C$23-Base!$C$19)),Supuestos!$C$5*$A26*12*Base!$C$6)*Base!$C$29*Base!$C$31+Base!$C$49-Base!$C$54-Base!$C$55)/(1+Supuestos!$C$34)^1+(MIN(MAX(0,Base!$D$18*(C$23-Base!$D$19)),Supuestos!$C$5*$A26*12*Base!$D$6)*Base!$D$29*Base!$D$31+Base!$D$49-Base!$D$54-Base!$D$55)/(1+Supuestos!$C$34)^2+(MIN(MAX(0,Base!$E$18*(C$23-Base!$E$19)),Supuestos!$C$5*$A26*12*Base!$E$6)*Base!$E$29*Base!$E$31+Base!$E$49-Base!$E$54-Base!$E$55)/(1+Supuestos!$C$34)^3)/1000000</x:f>
        <x:v>-102.88909636237693</x:v>
      </x:c>
      <x:c r="D26" s="118" t="n">
        <x:f>(-Base!$B$58+(MIN(MAX(0,Base!$C$18*(D$23-Base!$C$19)),Supuestos!$C$5*$A26*12*Base!$C$6)*Base!$C$29*Base!$C$31+Base!$C$49-Base!$C$54-Base!$C$55)/(1+Supuestos!$C$34)^1+(MIN(MAX(0,Base!$D$18*(D$23-Base!$D$19)),Supuestos!$C$5*$A26*12*Base!$D$6)*Base!$D$29*Base!$D$31+Base!$D$49-Base!$D$54-Base!$D$55)/(1+Supuestos!$C$34)^2+(MIN(MAX(0,Base!$E$18*(D$23-Base!$E$19)),Supuestos!$C$5*$A26*12*Base!$E$6)*Base!$E$29*Base!$E$31+Base!$E$49-Base!$E$54-Base!$E$55)/(1+Supuestos!$C$34)^3)/1000000</x:f>
        <x:v>-74.81249269918959</x:v>
      </x:c>
      <x:c r="E26" s="118" t="n">
        <x:f>(-Base!$B$58+(MIN(MAX(0,Base!$C$18*(E$23-Base!$C$19)),Supuestos!$C$5*$A26*12*Base!$C$6)*Base!$C$29*Base!$C$31+Base!$C$49-Base!$C$54-Base!$C$55)/(1+Supuestos!$C$34)^1+(MIN(MAX(0,Base!$D$18*(E$23-Base!$D$19)),Supuestos!$C$5*$A26*12*Base!$D$6)*Base!$D$29*Base!$D$31+Base!$D$49-Base!$D$54-Base!$D$55)/(1+Supuestos!$C$34)^2+(MIN(MAX(0,Base!$E$18*(E$23-Base!$E$19)),Supuestos!$C$5*$A26*12*Base!$E$6)*Base!$E$29*Base!$E$31+Base!$E$49-Base!$E$54-Base!$E$55)/(1+Supuestos!$C$34)^3)/1000000</x:f>
        <x:v>-46.73588903600227</x:v>
      </x:c>
      <x:c r="F26" s="118" t="n">
        <x:f>(-Base!$B$58+(MIN(MAX(0,Base!$C$18*(F$23-Base!$C$19)),Supuestos!$C$5*$A26*12*Base!$C$6)*Base!$C$29*Base!$C$31+Base!$C$49-Base!$C$54-Base!$C$55)/(1+Supuestos!$C$34)^1+(MIN(MAX(0,Base!$D$18*(F$23-Base!$D$19)),Supuestos!$C$5*$A26*12*Base!$D$6)*Base!$D$29*Base!$D$31+Base!$D$49-Base!$D$54-Base!$D$55)/(1+Supuestos!$C$34)^2+(MIN(MAX(0,Base!$E$18*(F$23-Base!$E$19)),Supuestos!$C$5*$A26*12*Base!$E$6)*Base!$E$29*Base!$E$31+Base!$E$49-Base!$E$54-Base!$E$55)/(1+Supuestos!$C$34)^3)/1000000</x:f>
        <x:v>-29.863907004441508</x:v>
      </x:c>
      <x:c r="G26" s="118" t="n">
        <x:f>(-Base!$B$58+(MIN(MAX(0,Base!$C$18*(G$23-Base!$C$19)),Supuestos!$C$5*$A26*12*Base!$C$6)*Base!$C$29*Base!$C$31+Base!$C$49-Base!$C$54-Base!$C$55)/(1+Supuestos!$C$34)^1+(MIN(MAX(0,Base!$D$18*(G$23-Base!$D$19)),Supuestos!$C$5*$A26*12*Base!$D$6)*Base!$D$29*Base!$D$31+Base!$D$49-Base!$D$54-Base!$D$55)/(1+Supuestos!$C$34)^2+(MIN(MAX(0,Base!$E$18*(G$23-Base!$E$19)),Supuestos!$C$5*$A26*12*Base!$E$6)*Base!$E$29*Base!$E$31+Base!$E$49-Base!$E$54-Base!$E$55)/(1+Supuestos!$C$34)^3)/1000000</x:f>
        <x:v>-24.239513526180634</x:v>
      </x:c>
    </x:row>
    <x:row r="27" ht="20" customHeight="1">
      <x:c r="A27" s="2" t="n">
        <x:v>8</x:v>
      </x:c>
      <x:c r="B27" s="118" t="n">
        <x:f>(-Base!$B$58+(MIN(MAX(0,Base!$C$18*(B$23-Base!$C$19)),Supuestos!$C$5*$A27*12*Base!$C$6)*Base!$C$29*Base!$C$31+Base!$C$49-Base!$C$54-Base!$C$55)/(1+Supuestos!$C$34)^1+(MIN(MAX(0,Base!$D$18*(B$23-Base!$D$19)),Supuestos!$C$5*$A27*12*Base!$D$6)*Base!$D$29*Base!$D$31+Base!$D$49-Base!$D$54-Base!$D$55)/(1+Supuestos!$C$34)^2+(MIN(MAX(0,Base!$E$18*(B$23-Base!$E$19)),Supuestos!$C$5*$A27*12*Base!$E$6)*Base!$E$29*Base!$E$31+Base!$E$49-Base!$E$54-Base!$E$55)/(1+Supuestos!$C$34)^3)/1000000</x:f>
        <x:v>-130.96570002556425</x:v>
      </x:c>
      <x:c r="C27" s="118" t="n">
        <x:f>(-Base!$B$58+(MIN(MAX(0,Base!$C$18*(C$23-Base!$C$19)),Supuestos!$C$5*$A27*12*Base!$C$6)*Base!$C$29*Base!$C$31+Base!$C$49-Base!$C$54-Base!$C$55)/(1+Supuestos!$C$34)^1+(MIN(MAX(0,Base!$D$18*(C$23-Base!$D$19)),Supuestos!$C$5*$A27*12*Base!$D$6)*Base!$D$29*Base!$D$31+Base!$D$49-Base!$D$54-Base!$D$55)/(1+Supuestos!$C$34)^2+(MIN(MAX(0,Base!$E$18*(C$23-Base!$E$19)),Supuestos!$C$5*$A27*12*Base!$E$6)*Base!$E$29*Base!$E$31+Base!$E$49-Base!$E$54-Base!$E$55)/(1+Supuestos!$C$34)^3)/1000000</x:f>
        <x:v>-102.88909636237693</x:v>
      </x:c>
      <x:c r="D27" s="118" t="n">
        <x:f>(-Base!$B$58+(MIN(MAX(0,Base!$C$18*(D$23-Base!$C$19)),Supuestos!$C$5*$A27*12*Base!$C$6)*Base!$C$29*Base!$C$31+Base!$C$49-Base!$C$54-Base!$C$55)/(1+Supuestos!$C$34)^1+(MIN(MAX(0,Base!$D$18*(D$23-Base!$D$19)),Supuestos!$C$5*$A27*12*Base!$D$6)*Base!$D$29*Base!$D$31+Base!$D$49-Base!$D$54-Base!$D$55)/(1+Supuestos!$C$34)^2+(MIN(MAX(0,Base!$E$18*(D$23-Base!$E$19)),Supuestos!$C$5*$A27*12*Base!$E$6)*Base!$E$29*Base!$E$31+Base!$E$49-Base!$E$54-Base!$E$55)/(1+Supuestos!$C$34)^3)/1000000</x:f>
        <x:v>-74.81249269918959</x:v>
      </x:c>
      <x:c r="E27" s="118" t="n">
        <x:f>(-Base!$B$58+(MIN(MAX(0,Base!$C$18*(E$23-Base!$C$19)),Supuestos!$C$5*$A27*12*Base!$C$6)*Base!$C$29*Base!$C$31+Base!$C$49-Base!$C$54-Base!$C$55)/(1+Supuestos!$C$34)^1+(MIN(MAX(0,Base!$D$18*(E$23-Base!$D$19)),Supuestos!$C$5*$A27*12*Base!$D$6)*Base!$D$29*Base!$D$31+Base!$D$49-Base!$D$54-Base!$D$55)/(1+Supuestos!$C$34)^2+(MIN(MAX(0,Base!$E$18*(E$23-Base!$E$19)),Supuestos!$C$5*$A27*12*Base!$E$6)*Base!$E$29*Base!$E$31+Base!$E$49-Base!$E$54-Base!$E$55)/(1+Supuestos!$C$34)^3)/1000000</x:f>
        <x:v>-46.73588903600227</x:v>
      </x:c>
      <x:c r="F27" s="118" t="n">
        <x:f>(-Base!$B$58+(MIN(MAX(0,Base!$C$18*(F$23-Base!$C$19)),Supuestos!$C$5*$A27*12*Base!$C$6)*Base!$C$29*Base!$C$31+Base!$C$49-Base!$C$54-Base!$C$55)/(1+Supuestos!$C$34)^1+(MIN(MAX(0,Base!$D$18*(F$23-Base!$D$19)),Supuestos!$C$5*$A27*12*Base!$D$6)*Base!$D$29*Base!$D$31+Base!$D$49-Base!$D$54-Base!$D$55)/(1+Supuestos!$C$34)^2+(MIN(MAX(0,Base!$E$18*(F$23-Base!$E$19)),Supuestos!$C$5*$A27*12*Base!$E$6)*Base!$E$29*Base!$E$31+Base!$E$49-Base!$E$54-Base!$E$55)/(1+Supuestos!$C$34)^3)/1000000</x:f>
        <x:v>-18.65928537281494</x:v>
      </x:c>
      <x:c r="G27" s="118" t="n">
        <x:f>(-Base!$B$58+(MIN(MAX(0,Base!$C$18*(G$23-Base!$C$19)),Supuestos!$C$5*$A27*12*Base!$C$6)*Base!$C$29*Base!$C$31+Base!$C$49-Base!$C$54-Base!$C$55)/(1+Supuestos!$C$34)^1+(MIN(MAX(0,Base!$D$18*(G$23-Base!$D$19)),Supuestos!$C$5*$A27*12*Base!$D$6)*Base!$D$29*Base!$D$31+Base!$D$49-Base!$D$54-Base!$D$55)/(1+Supuestos!$C$34)^2+(MIN(MAX(0,Base!$E$18*(G$23-Base!$E$19)),Supuestos!$C$5*$A27*12*Base!$E$6)*Base!$E$29*Base!$E$31+Base!$E$49-Base!$E$54-Base!$E$55)/(1+Supuestos!$C$34)^3)/1000000</x:f>
        <x:v>7.303936625738501</x:v>
      </x:c>
    </x:row>
    <x:row r="28" ht="20" customHeight="1">
      <x:c r="A28" s="2" t="n">
        <x:v>12</x:v>
      </x:c>
      <x:c r="B28" s="118" t="n">
        <x:f>(-Base!$B$58+(MIN(MAX(0,Base!$C$18*(B$23-Base!$C$19)),Supuestos!$C$5*$A28*12*Base!$C$6)*Base!$C$29*Base!$C$31+Base!$C$49-Base!$C$54-Base!$C$55)/(1+Supuestos!$C$34)^1+(MIN(MAX(0,Base!$D$18*(B$23-Base!$D$19)),Supuestos!$C$5*$A28*12*Base!$D$6)*Base!$D$29*Base!$D$31+Base!$D$49-Base!$D$54-Base!$D$55)/(1+Supuestos!$C$34)^2+(MIN(MAX(0,Base!$E$18*(B$23-Base!$E$19)),Supuestos!$C$5*$A28*12*Base!$E$6)*Base!$E$29*Base!$E$31+Base!$E$49-Base!$E$54-Base!$E$55)/(1+Supuestos!$C$34)^3)/1000000</x:f>
        <x:v>-130.96570002556425</x:v>
      </x:c>
      <x:c r="C28" s="118" t="n">
        <x:f>(-Base!$B$58+(MIN(MAX(0,Base!$C$18*(C$23-Base!$C$19)),Supuestos!$C$5*$A28*12*Base!$C$6)*Base!$C$29*Base!$C$31+Base!$C$49-Base!$C$54-Base!$C$55)/(1+Supuestos!$C$34)^1+(MIN(MAX(0,Base!$D$18*(C$23-Base!$D$19)),Supuestos!$C$5*$A28*12*Base!$D$6)*Base!$D$29*Base!$D$31+Base!$D$49-Base!$D$54-Base!$D$55)/(1+Supuestos!$C$34)^2+(MIN(MAX(0,Base!$E$18*(C$23-Base!$E$19)),Supuestos!$C$5*$A28*12*Base!$E$6)*Base!$E$29*Base!$E$31+Base!$E$49-Base!$E$54-Base!$E$55)/(1+Supuestos!$C$34)^3)/1000000</x:f>
        <x:v>-102.88909636237693</x:v>
      </x:c>
      <x:c r="D28" s="118" t="n">
        <x:f>(-Base!$B$58+(MIN(MAX(0,Base!$C$18*(D$23-Base!$C$19)),Supuestos!$C$5*$A28*12*Base!$C$6)*Base!$C$29*Base!$C$31+Base!$C$49-Base!$C$54-Base!$C$55)/(1+Supuestos!$C$34)^1+(MIN(MAX(0,Base!$D$18*(D$23-Base!$D$19)),Supuestos!$C$5*$A28*12*Base!$D$6)*Base!$D$29*Base!$D$31+Base!$D$49-Base!$D$54-Base!$D$55)/(1+Supuestos!$C$34)^2+(MIN(MAX(0,Base!$E$18*(D$23-Base!$E$19)),Supuestos!$C$5*$A28*12*Base!$E$6)*Base!$E$29*Base!$E$31+Base!$E$49-Base!$E$54-Base!$E$55)/(1+Supuestos!$C$34)^3)/1000000</x:f>
        <x:v>-74.81249269918959</x:v>
      </x:c>
      <x:c r="E28" s="118" t="n">
        <x:f>(-Base!$B$58+(MIN(MAX(0,Base!$C$18*(E$23-Base!$C$19)),Supuestos!$C$5*$A28*12*Base!$C$6)*Base!$C$29*Base!$C$31+Base!$C$49-Base!$C$54-Base!$C$55)/(1+Supuestos!$C$34)^1+(MIN(MAX(0,Base!$D$18*(E$23-Base!$D$19)),Supuestos!$C$5*$A28*12*Base!$D$6)*Base!$D$29*Base!$D$31+Base!$D$49-Base!$D$54-Base!$D$55)/(1+Supuestos!$C$34)^2+(MIN(MAX(0,Base!$E$18*(E$23-Base!$E$19)),Supuestos!$C$5*$A28*12*Base!$E$6)*Base!$E$29*Base!$E$31+Base!$E$49-Base!$E$54-Base!$E$55)/(1+Supuestos!$C$34)^3)/1000000</x:f>
        <x:v>-46.73588903600227</x:v>
      </x:c>
      <x:c r="F28" s="118" t="n">
        <x:f>(-Base!$B$58+(MIN(MAX(0,Base!$C$18*(F$23-Base!$C$19)),Supuestos!$C$5*$A28*12*Base!$C$6)*Base!$C$29*Base!$C$31+Base!$C$49-Base!$C$54-Base!$C$55)/(1+Supuestos!$C$34)^1+(MIN(MAX(0,Base!$D$18*(F$23-Base!$D$19)),Supuestos!$C$5*$A28*12*Base!$D$6)*Base!$D$29*Base!$D$31+Base!$D$49-Base!$D$54-Base!$D$55)/(1+Supuestos!$C$34)^2+(MIN(MAX(0,Base!$E$18*(F$23-Base!$E$19)),Supuestos!$C$5*$A28*12*Base!$E$6)*Base!$E$29*Base!$E$31+Base!$E$49-Base!$E$54-Base!$E$55)/(1+Supuestos!$C$34)^3)/1000000</x:f>
        <x:v>-18.65928537281494</x:v>
      </x:c>
      <x:c r="G28" s="118" t="n">
        <x:f>(-Base!$B$58+(MIN(MAX(0,Base!$C$18*(G$23-Base!$C$19)),Supuestos!$C$5*$A28*12*Base!$C$6)*Base!$C$29*Base!$C$31+Base!$C$49-Base!$C$54-Base!$C$55)/(1+Supuestos!$C$34)^1+(MIN(MAX(0,Base!$D$18*(G$23-Base!$D$19)),Supuestos!$C$5*$A28*12*Base!$D$6)*Base!$D$29*Base!$D$31+Base!$D$49-Base!$D$54-Base!$D$55)/(1+Supuestos!$C$34)^2+(MIN(MAX(0,Base!$E$18*(G$23-Base!$E$19)),Supuestos!$C$5*$A28*12*Base!$E$6)*Base!$E$29*Base!$E$31+Base!$E$49-Base!$E$54-Base!$E$55)/(1+Supuestos!$C$34)^3)/1000000</x:f>
        <x:v>9.417318290372378</x:v>
      </x:c>
    </x:row>
    <x:row r="29" ht="20" customHeight="1">
      <x:c r="A29" s="2" t="n">
        <x:v>18</x:v>
      </x:c>
      <x:c r="B29" s="118" t="n">
        <x:f>(-Base!$B$58+(MIN(MAX(0,Base!$C$18*(B$23-Base!$C$19)),Supuestos!$C$5*$A29*12*Base!$C$6)*Base!$C$29*Base!$C$31+Base!$C$49-Base!$C$54-Base!$C$55)/(1+Supuestos!$C$34)^1+(MIN(MAX(0,Base!$D$18*(B$23-Base!$D$19)),Supuestos!$C$5*$A29*12*Base!$D$6)*Base!$D$29*Base!$D$31+Base!$D$49-Base!$D$54-Base!$D$55)/(1+Supuestos!$C$34)^2+(MIN(MAX(0,Base!$E$18*(B$23-Base!$E$19)),Supuestos!$C$5*$A29*12*Base!$E$6)*Base!$E$29*Base!$E$31+Base!$E$49-Base!$E$54-Base!$E$55)/(1+Supuestos!$C$34)^3)/1000000</x:f>
        <x:v>-130.96570002556425</x:v>
      </x:c>
      <x:c r="C29" s="118" t="n">
        <x:f>(-Base!$B$58+(MIN(MAX(0,Base!$C$18*(C$23-Base!$C$19)),Supuestos!$C$5*$A29*12*Base!$C$6)*Base!$C$29*Base!$C$31+Base!$C$49-Base!$C$54-Base!$C$55)/(1+Supuestos!$C$34)^1+(MIN(MAX(0,Base!$D$18*(C$23-Base!$D$19)),Supuestos!$C$5*$A29*12*Base!$D$6)*Base!$D$29*Base!$D$31+Base!$D$49-Base!$D$54-Base!$D$55)/(1+Supuestos!$C$34)^2+(MIN(MAX(0,Base!$E$18*(C$23-Base!$E$19)),Supuestos!$C$5*$A29*12*Base!$E$6)*Base!$E$29*Base!$E$31+Base!$E$49-Base!$E$54-Base!$E$55)/(1+Supuestos!$C$34)^3)/1000000</x:f>
        <x:v>-102.88909636237693</x:v>
      </x:c>
      <x:c r="D29" s="118" t="n">
        <x:f>(-Base!$B$58+(MIN(MAX(0,Base!$C$18*(D$23-Base!$C$19)),Supuestos!$C$5*$A29*12*Base!$C$6)*Base!$C$29*Base!$C$31+Base!$C$49-Base!$C$54-Base!$C$55)/(1+Supuestos!$C$34)^1+(MIN(MAX(0,Base!$D$18*(D$23-Base!$D$19)),Supuestos!$C$5*$A29*12*Base!$D$6)*Base!$D$29*Base!$D$31+Base!$D$49-Base!$D$54-Base!$D$55)/(1+Supuestos!$C$34)^2+(MIN(MAX(0,Base!$E$18*(D$23-Base!$E$19)),Supuestos!$C$5*$A29*12*Base!$E$6)*Base!$E$29*Base!$E$31+Base!$E$49-Base!$E$54-Base!$E$55)/(1+Supuestos!$C$34)^3)/1000000</x:f>
        <x:v>-74.81249269918959</x:v>
      </x:c>
      <x:c r="E29" s="118" t="n">
        <x:f>(-Base!$B$58+(MIN(MAX(0,Base!$C$18*(E$23-Base!$C$19)),Supuestos!$C$5*$A29*12*Base!$C$6)*Base!$C$29*Base!$C$31+Base!$C$49-Base!$C$54-Base!$C$55)/(1+Supuestos!$C$34)^1+(MIN(MAX(0,Base!$D$18*(E$23-Base!$D$19)),Supuestos!$C$5*$A29*12*Base!$D$6)*Base!$D$29*Base!$D$31+Base!$D$49-Base!$D$54-Base!$D$55)/(1+Supuestos!$C$34)^2+(MIN(MAX(0,Base!$E$18*(E$23-Base!$E$19)),Supuestos!$C$5*$A29*12*Base!$E$6)*Base!$E$29*Base!$E$31+Base!$E$49-Base!$E$54-Base!$E$55)/(1+Supuestos!$C$34)^3)/1000000</x:f>
        <x:v>-46.73588903600227</x:v>
      </x:c>
      <x:c r="F29" s="118" t="n">
        <x:f>(-Base!$B$58+(MIN(MAX(0,Base!$C$18*(F$23-Base!$C$19)),Supuestos!$C$5*$A29*12*Base!$C$6)*Base!$C$29*Base!$C$31+Base!$C$49-Base!$C$54-Base!$C$55)/(1+Supuestos!$C$34)^1+(MIN(MAX(0,Base!$D$18*(F$23-Base!$D$19)),Supuestos!$C$5*$A29*12*Base!$D$6)*Base!$D$29*Base!$D$31+Base!$D$49-Base!$D$54-Base!$D$55)/(1+Supuestos!$C$34)^2+(MIN(MAX(0,Base!$E$18*(F$23-Base!$E$19)),Supuestos!$C$5*$A29*12*Base!$E$6)*Base!$E$29*Base!$E$31+Base!$E$49-Base!$E$54-Base!$E$55)/(1+Supuestos!$C$34)^3)/1000000</x:f>
        <x:v>-18.65928537281494</x:v>
      </x:c>
      <x:c r="G29" s="118" t="n">
        <x:f>(-Base!$B$58+(MIN(MAX(0,Base!$C$18*(G$23-Base!$C$19)),Supuestos!$C$5*$A29*12*Base!$C$6)*Base!$C$29*Base!$C$31+Base!$C$49-Base!$C$54-Base!$C$55)/(1+Supuestos!$C$34)^1+(MIN(MAX(0,Base!$D$18*(G$23-Base!$D$19)),Supuestos!$C$5*$A29*12*Base!$D$6)*Base!$D$29*Base!$D$31+Base!$D$49-Base!$D$54-Base!$D$55)/(1+Supuestos!$C$34)^2+(MIN(MAX(0,Base!$E$18*(G$23-Base!$E$19)),Supuestos!$C$5*$A29*12*Base!$E$6)*Base!$E$29*Base!$E$31+Base!$E$49-Base!$E$54-Base!$E$55)/(1+Supuestos!$C$34)^3)/1000000</x:f>
        <x:v>9.417318290372378</x:v>
      </x:c>
    </x:row>
    <x:row r="30" ht="20" customHeight="1">
      <x:c r="A30" s="2" t="n">
        <x:v>30</x:v>
      </x:c>
      <x:c r="B30" s="118" t="n">
        <x:f>(-Base!$B$58+(MIN(MAX(0,Base!$C$18*(B$23-Base!$C$19)),Supuestos!$C$5*$A30*12*Base!$C$6)*Base!$C$29*Base!$C$31+Base!$C$49-Base!$C$54-Base!$C$55)/(1+Supuestos!$C$34)^1+(MIN(MAX(0,Base!$D$18*(B$23-Base!$D$19)),Supuestos!$C$5*$A30*12*Base!$D$6)*Base!$D$29*Base!$D$31+Base!$D$49-Base!$D$54-Base!$D$55)/(1+Supuestos!$C$34)^2+(MIN(MAX(0,Base!$E$18*(B$23-Base!$E$19)),Supuestos!$C$5*$A30*12*Base!$E$6)*Base!$E$29*Base!$E$31+Base!$E$49-Base!$E$54-Base!$E$55)/(1+Supuestos!$C$34)^3)/1000000</x:f>
        <x:v>-130.96570002556425</x:v>
      </x:c>
      <x:c r="C30" s="118" t="n">
        <x:f>(-Base!$B$58+(MIN(MAX(0,Base!$C$18*(C$23-Base!$C$19)),Supuestos!$C$5*$A30*12*Base!$C$6)*Base!$C$29*Base!$C$31+Base!$C$49-Base!$C$54-Base!$C$55)/(1+Supuestos!$C$34)^1+(MIN(MAX(0,Base!$D$18*(C$23-Base!$D$19)),Supuestos!$C$5*$A30*12*Base!$D$6)*Base!$D$29*Base!$D$31+Base!$D$49-Base!$D$54-Base!$D$55)/(1+Supuestos!$C$34)^2+(MIN(MAX(0,Base!$E$18*(C$23-Base!$E$19)),Supuestos!$C$5*$A30*12*Base!$E$6)*Base!$E$29*Base!$E$31+Base!$E$49-Base!$E$54-Base!$E$55)/(1+Supuestos!$C$34)^3)/1000000</x:f>
        <x:v>-102.88909636237693</x:v>
      </x:c>
      <x:c r="D30" s="118" t="n">
        <x:f>(-Base!$B$58+(MIN(MAX(0,Base!$C$18*(D$23-Base!$C$19)),Supuestos!$C$5*$A30*12*Base!$C$6)*Base!$C$29*Base!$C$31+Base!$C$49-Base!$C$54-Base!$C$55)/(1+Supuestos!$C$34)^1+(MIN(MAX(0,Base!$D$18*(D$23-Base!$D$19)),Supuestos!$C$5*$A30*12*Base!$D$6)*Base!$D$29*Base!$D$31+Base!$D$49-Base!$D$54-Base!$D$55)/(1+Supuestos!$C$34)^2+(MIN(MAX(0,Base!$E$18*(D$23-Base!$E$19)),Supuestos!$C$5*$A30*12*Base!$E$6)*Base!$E$29*Base!$E$31+Base!$E$49-Base!$E$54-Base!$E$55)/(1+Supuestos!$C$34)^3)/1000000</x:f>
        <x:v>-74.81249269918959</x:v>
      </x:c>
      <x:c r="E30" s="118" t="n">
        <x:f>(-Base!$B$58+(MIN(MAX(0,Base!$C$18*(E$23-Base!$C$19)),Supuestos!$C$5*$A30*12*Base!$C$6)*Base!$C$29*Base!$C$31+Base!$C$49-Base!$C$54-Base!$C$55)/(1+Supuestos!$C$34)^1+(MIN(MAX(0,Base!$D$18*(E$23-Base!$D$19)),Supuestos!$C$5*$A30*12*Base!$D$6)*Base!$D$29*Base!$D$31+Base!$D$49-Base!$D$54-Base!$D$55)/(1+Supuestos!$C$34)^2+(MIN(MAX(0,Base!$E$18*(E$23-Base!$E$19)),Supuestos!$C$5*$A30*12*Base!$E$6)*Base!$E$29*Base!$E$31+Base!$E$49-Base!$E$54-Base!$E$55)/(1+Supuestos!$C$34)^3)/1000000</x:f>
        <x:v>-46.73588903600227</x:v>
      </x:c>
      <x:c r="F30" s="118" t="n">
        <x:f>(-Base!$B$58+(MIN(MAX(0,Base!$C$18*(F$23-Base!$C$19)),Supuestos!$C$5*$A30*12*Base!$C$6)*Base!$C$29*Base!$C$31+Base!$C$49-Base!$C$54-Base!$C$55)/(1+Supuestos!$C$34)^1+(MIN(MAX(0,Base!$D$18*(F$23-Base!$D$19)),Supuestos!$C$5*$A30*12*Base!$D$6)*Base!$D$29*Base!$D$31+Base!$D$49-Base!$D$54-Base!$D$55)/(1+Supuestos!$C$34)^2+(MIN(MAX(0,Base!$E$18*(F$23-Base!$E$19)),Supuestos!$C$5*$A30*12*Base!$E$6)*Base!$E$29*Base!$E$31+Base!$E$49-Base!$E$54-Base!$E$55)/(1+Supuestos!$C$34)^3)/1000000</x:f>
        <x:v>-18.65928537281494</x:v>
      </x:c>
      <x:c r="G30" s="118" t="n">
        <x:f>(-Base!$B$58+(MIN(MAX(0,Base!$C$18*(G$23-Base!$C$19)),Supuestos!$C$5*$A30*12*Base!$C$6)*Base!$C$29*Base!$C$31+Base!$C$49-Base!$C$54-Base!$C$55)/(1+Supuestos!$C$34)^1+(MIN(MAX(0,Base!$D$18*(G$23-Base!$D$19)),Supuestos!$C$5*$A30*12*Base!$D$6)*Base!$D$29*Base!$D$31+Base!$D$49-Base!$D$54-Base!$D$55)/(1+Supuestos!$C$34)^2+(MIN(MAX(0,Base!$E$18*(G$23-Base!$E$19)),Supuestos!$C$5*$A30*12*Base!$E$6)*Base!$E$29*Base!$E$31+Base!$E$49-Base!$E$54-Base!$E$55)/(1+Supuestos!$C$34)^3)/1000000</x:f>
        <x:v>9.417318290372378</x:v>
      </x:c>
    </x:row>
    <x:row r="31" ht="20" customHeight="1">
      <x:c r="A31" s="2"/>
      <x:c r="B31" s="2"/>
      <x:c r="C31" s="2"/>
      <x:c r="D31" s="2"/>
      <x:c r="E31" s="2"/>
      <x:c r="F31" s="2"/>
      <x:c r="G31" s="2"/>
    </x:row>
    <x:row r="32" ht="20" customHeight="1">
      <x:c r="A32" s="114" t="str">
        <x:v>Escenarios de sensibilidad estáticos sobre la red BASE. Las celdas muestran VPN, no ingresos. La tabla de capacidad modifica únicamente cupos incrementales sin reducir demanda preexistente. Break-even aproximado debe contrastarse con una tabla con límites de capacidad.</x:v>
      </x:c>
      <x:c r="B32" s="114"/>
      <x:c r="C32" s="114"/>
      <x:c r="D32" s="114"/>
      <x:c r="E32" s="114"/>
      <x:c r="F32" s="114"/>
      <x:c r="G32" s="114"/>
      <x:c r="H32" s="115"/>
    </x:row>
    <x:row r="33" ht="20" customHeight="1">
      <x:c r="A33" s="114"/>
      <x:c r="B33" s="114"/>
      <x:c r="C33" s="114"/>
      <x:c r="D33" s="114"/>
      <x:c r="E33" s="114"/>
      <x:c r="F33" s="114"/>
      <x:c r="G33" s="114"/>
      <x:c r="H33" s="115"/>
    </x:row>
    <x:row r="34" ht="20" customHeight="1">
      <x:c r="A34" s="2"/>
      <x:c r="B34" s="2"/>
      <x:c r="C34" s="2"/>
      <x:c r="D34" s="2"/>
      <x:c r="E34" s="2"/>
      <x:c r="F34" s="2"/>
      <x:c r="G34" s="2"/>
    </x:row>
    <x:row r="35" ht="20" customHeight="1">
      <x:c r="A35" s="2"/>
      <x:c r="B35" s="2"/>
      <x:c r="C35" s="2"/>
      <x:c r="D35" s="2"/>
      <x:c r="E35" s="2"/>
      <x:c r="F35" s="2"/>
      <x:c r="G35" s="2"/>
    </x:row>
    <x:row r="36" ht="20" customHeight="1">
      <x:c r="A36" s="2"/>
      <x:c r="B36" s="2"/>
      <x:c r="C36" s="2"/>
      <x:c r="D36" s="2"/>
      <x:c r="E36" s="2"/>
      <x:c r="F36" s="2"/>
      <x:c r="G36" s="2"/>
    </x:row>
    <x:row r="37" ht="20" customHeight="1">
      <x:c r="A37" s="2"/>
      <x:c r="B37" s="2"/>
      <x:c r="C37" s="2"/>
      <x:c r="D37" s="2"/>
      <x:c r="E37" s="2"/>
      <x:c r="F37" s="2"/>
      <x:c r="G37" s="2"/>
    </x:row>
    <x:row r="38" ht="20" customHeight="1">
      <x:c r="A38" s="2"/>
      <x:c r="B38" s="2"/>
      <x:c r="C38" s="2"/>
      <x:c r="D38" s="2"/>
      <x:c r="E38" s="2"/>
      <x:c r="F38" s="2"/>
      <x:c r="G38" s="2"/>
    </x:row>
    <x:row r="39" ht="20" customHeight="1">
      <x:c r="A39" s="2"/>
      <x:c r="B39" s="2"/>
      <x:c r="C39" s="2"/>
      <x:c r="D39" s="2"/>
      <x:c r="E39" s="2"/>
      <x:c r="F39" s="2"/>
      <x:c r="G39" s="2"/>
    </x:row>
    <x:row r="40" ht="20" customHeight="1">
      <x:c r="A40" s="2"/>
      <x:c r="B40" s="2"/>
      <x:c r="C40" s="2"/>
      <x:c r="D40" s="2"/>
      <x:c r="E40" s="2"/>
      <x:c r="F40" s="2"/>
      <x:c r="G40" s="2"/>
    </x:row>
    <x:row r="41" ht="20" customHeight="1">
      <x:c r="A41" s="2"/>
      <x:c r="B41" s="2"/>
      <x:c r="C41" s="2"/>
      <x:c r="D41" s="2"/>
      <x:c r="E41" s="2"/>
      <x:c r="F41" s="2"/>
      <x:c r="G41" s="2"/>
    </x:row>
    <x:row r="42" ht="20" customHeight="1">
      <x:c r="A42" s="2"/>
      <x:c r="B42" s="2"/>
      <x:c r="C42" s="2"/>
      <x:c r="D42" s="2"/>
      <x:c r="E42" s="2"/>
      <x:c r="F42" s="2"/>
      <x:c r="G42" s="2"/>
    </x:row>
    <x:row r="43" ht="20" customHeight="1">
      <x:c r="A43" s="2"/>
      <x:c r="B43" s="2"/>
      <x:c r="C43" s="2"/>
      <x:c r="D43" s="2"/>
      <x:c r="E43" s="2"/>
      <x:c r="F43" s="2"/>
      <x:c r="G43" s="2"/>
    </x:row>
    <x:row r="44" ht="20" customHeight="1">
      <x:c r="A44" s="2"/>
      <x:c r="B44" s="2"/>
      <x:c r="C44" s="2"/>
      <x:c r="D44" s="2"/>
      <x:c r="E44" s="2"/>
      <x:c r="F44" s="2"/>
      <x:c r="G44" s="2"/>
    </x:row>
    <x:row r="45" ht="20" customHeight="1">
      <x:c r="A45" s="2"/>
      <x:c r="B45" s="2"/>
      <x:c r="C45" s="2"/>
      <x:c r="D45" s="2"/>
      <x:c r="E45" s="2"/>
      <x:c r="F45" s="2"/>
      <x:c r="G45" s="2"/>
    </x:row>
    <x:row r="46" ht="20" customHeight="1">
      <x:c r="A46" s="2"/>
      <x:c r="B46" s="2"/>
      <x:c r="C46" s="2"/>
      <x:c r="D46" s="2"/>
      <x:c r="E46" s="2"/>
      <x:c r="F46" s="2"/>
      <x:c r="G46" s="2"/>
    </x:row>
    <x:row r="47" ht="20" customHeight="1">
      <x:c r="A47" s="2"/>
      <x:c r="B47" s="2"/>
      <x:c r="C47" s="2"/>
      <x:c r="D47" s="2"/>
      <x:c r="E47" s="2"/>
      <x:c r="F47" s="2"/>
      <x:c r="G47" s="2"/>
    </x:row>
    <x:row r="48" ht="20" customHeight="1">
      <x:c r="A48" s="2"/>
      <x:c r="B48" s="2"/>
      <x:c r="C48" s="2"/>
      <x:c r="D48" s="2"/>
      <x:c r="E48" s="2"/>
      <x:c r="F48" s="2"/>
      <x:c r="G48" s="2"/>
    </x:row>
    <x:row r="49" ht="20" customHeight="1">
      <x:c r="A49" s="2"/>
      <x:c r="B49" s="2"/>
      <x:c r="C49" s="2"/>
      <x:c r="D49" s="2"/>
      <x:c r="E49" s="2"/>
      <x:c r="F49" s="2"/>
      <x:c r="G49" s="2"/>
    </x:row>
    <x:row r="50" ht="20" customHeight="1">
      <x:c r="A50" s="2"/>
      <x:c r="B50" s="2"/>
      <x:c r="C50" s="2"/>
      <x:c r="D50" s="2"/>
      <x:c r="E50" s="2"/>
      <x:c r="F50" s="2"/>
      <x:c r="G50" s="2"/>
    </x:row>
    <x:row r="51" ht="20" customHeight="1">
      <x:c r="A51" s="2"/>
      <x:c r="B51" s="2"/>
      <x:c r="C51" s="2"/>
      <x:c r="D51" s="2"/>
      <x:c r="E51" s="2"/>
      <x:c r="F51" s="2"/>
      <x:c r="G51" s="2"/>
    </x:row>
    <x:row r="52" ht="20" customHeight="1">
      <x:c r="A52" s="2"/>
      <x:c r="B52" s="2"/>
      <x:c r="C52" s="2"/>
      <x:c r="D52" s="2"/>
      <x:c r="E52" s="2"/>
      <x:c r="F52" s="2"/>
      <x:c r="G52" s="2"/>
    </x:row>
    <x:row r="53" ht="20" customHeight="1">
      <x:c r="A53" s="2"/>
      <x:c r="B53" s="2"/>
      <x:c r="C53" s="2"/>
      <x:c r="D53" s="2"/>
      <x:c r="E53" s="2"/>
      <x:c r="F53" s="2"/>
      <x:c r="G53" s="2"/>
    </x:row>
    <x:row r="54" ht="20" customHeight="1">
      <x:c r="A54" s="2"/>
      <x:c r="B54" s="2"/>
      <x:c r="C54" s="2"/>
      <x:c r="D54" s="2"/>
      <x:c r="E54" s="2"/>
      <x:c r="F54" s="2"/>
      <x:c r="G54" s="2"/>
    </x:row>
    <x:row r="55" ht="20" customHeight="1">
      <x:c r="A55" s="2"/>
      <x:c r="B55" s="2"/>
      <x:c r="C55" s="2"/>
      <x:c r="D55" s="2"/>
      <x:c r="E55" s="2"/>
      <x:c r="F55" s="2"/>
      <x:c r="G55" s="2"/>
    </x:row>
    <x:row r="56" ht="20" customHeight="1">
      <x:c r="A56" s="2"/>
      <x:c r="B56" s="2"/>
      <x:c r="C56" s="2"/>
      <x:c r="D56" s="2"/>
      <x:c r="E56" s="2"/>
      <x:c r="F56" s="2"/>
      <x:c r="G56" s="2"/>
    </x:row>
    <x:row r="57" ht="20" customHeight="1">
      <x:c r="A57" s="2"/>
      <x:c r="B57" s="2"/>
      <x:c r="C57" s="2"/>
      <x:c r="D57" s="2"/>
      <x:c r="E57" s="2"/>
      <x:c r="F57" s="2"/>
      <x:c r="G57" s="2"/>
    </x:row>
    <x:row r="58" ht="20" customHeight="1">
      <x:c r="A58" s="2"/>
      <x:c r="B58" s="2"/>
      <x:c r="C58" s="2"/>
      <x:c r="D58" s="2"/>
      <x:c r="E58" s="2"/>
      <x:c r="F58" s="2"/>
      <x:c r="G58" s="2"/>
    </x:row>
    <x:row r="59" ht="20" customHeight="1">
      <x:c r="A59" s="2"/>
      <x:c r="B59" s="2"/>
      <x:c r="C59" s="2"/>
      <x:c r="D59" s="2"/>
      <x:c r="E59" s="2"/>
      <x:c r="F59" s="2"/>
      <x:c r="G59" s="2"/>
    </x:row>
    <x:row r="60" ht="20" customHeight="1">
      <x:c r="A60" s="2"/>
      <x:c r="B60" s="2"/>
      <x:c r="C60" s="2"/>
      <x:c r="D60" s="2"/>
      <x:c r="E60" s="2"/>
      <x:c r="F60" s="2"/>
      <x:c r="G60" s="2"/>
    </x:row>
    <x:row r="61" ht="20" customHeight="1">
      <x:c r="A61" s="2"/>
      <x:c r="B61" s="2"/>
      <x:c r="C61" s="2"/>
      <x:c r="D61" s="2"/>
      <x:c r="E61" s="2"/>
      <x:c r="F61" s="2"/>
      <x:c r="G61" s="2"/>
    </x:row>
    <x:row r="62" ht="20" customHeight="1">
      <x:c r="A62" s="2"/>
      <x:c r="B62" s="2"/>
      <x:c r="C62" s="2"/>
      <x:c r="D62" s="2"/>
      <x:c r="E62" s="2"/>
      <x:c r="F62" s="2"/>
      <x:c r="G62" s="2"/>
    </x:row>
    <x:row r="63" ht="20" customHeight="1">
      <x:c r="A63" s="2"/>
      <x:c r="B63" s="2"/>
      <x:c r="C63" s="2"/>
      <x:c r="D63" s="2"/>
      <x:c r="E63" s="2"/>
      <x:c r="F63" s="2"/>
      <x:c r="G63" s="2"/>
    </x:row>
    <x:row r="64" ht="20" customHeight="1">
      <x:c r="A64" s="2"/>
      <x:c r="B64" s="2"/>
      <x:c r="C64" s="2"/>
      <x:c r="D64" s="2"/>
      <x:c r="E64" s="2"/>
      <x:c r="F64" s="2"/>
      <x:c r="G64" s="2"/>
    </x:row>
    <x:row r="65" ht="20" customHeight="1">
      <x:c r="A65" s="2"/>
      <x:c r="B65" s="2"/>
      <x:c r="C65" s="2"/>
      <x:c r="D65" s="2"/>
      <x:c r="E65" s="2"/>
      <x:c r="F65" s="2"/>
      <x:c r="G65" s="2"/>
    </x:row>
    <x:row r="66" ht="20" customHeight="1">
      <x:c r="A66" s="2"/>
      <x:c r="B66" s="2"/>
      <x:c r="C66" s="2"/>
      <x:c r="D66" s="2"/>
      <x:c r="E66" s="2"/>
      <x:c r="F66" s="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H1"/>
    <x:mergeCell ref="A2:H2"/>
    <x:mergeCell ref="A4:H4"/>
    <x:mergeCell ref="A17:H17"/>
    <x:mergeCell ref="A20:H20"/>
    <x:mergeCell ref="A32:H33"/>
  </x:mergeCells>
  <x:conditionalFormatting sqref="B8:G14">
    <x:cfRule type="colorScale" priority="1">
      <x:colorScale>
        <x:cfvo type="min"/>
        <x:cfvo type="percentile" val="50"/>
        <x:cfvo type="max"/>
        <x:color rgb="FFFDE5E5"/>
        <x:color rgb="FFF8F7D9"/>
        <x:color rgb="FFC4E9DC"/>
      </x:colorScale>
    </x:cfRule>
  </x:conditionalFormatting>
  <x:conditionalFormatting sqref="B24:G30">
    <x:cfRule type="colorScale" priority="2">
      <x:colorScale>
        <x:cfvo type="min"/>
        <x:cfvo type="percentile" val="50"/>
        <x:cfvo type="max"/>
        <x:color rgb="FFFDE5E5"/>
        <x:color rgb="FFF8F7D9"/>
        <x:color rgb="FFC4E9DC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0" hidden="0" customWidth="1"/>
    <x:col min="3" max="3" width="49" hidden="0" customWidth="1"/>
    <x:col min="4" max="4" width="35" hidden="0" customWidth="1"/>
    <x:col min="5" max="5" width="62" hidden="0" customWidth="1"/>
    <x:col min="6" max="6" width="28" hidden="0" customWidth="1"/>
    <x:col min="7" max="7" width="18" hidden="0" customWidth="1"/>
  </x:cols>
  <x:sheetData>
    <x:row r="1" ht="38" customHeight="1">
      <x:c r="A1" s="6" t="str">
        <x:v>VALIDACIÓN  |  SUPUESTOS CRÍTICOS Y COMPuERTAS DE DECISIÓN</x:v>
      </x:c>
      <x:c r="B1" s="6"/>
      <x:c r="C1" s="6"/>
      <x:c r="D1" s="6"/>
      <x:c r="E1" s="6"/>
      <x:c r="F1" s="6"/>
      <x:c r="G1" s="6"/>
    </x:row>
    <x:row r="2" ht="28" customHeight="1">
      <x:c r="A2" s="11" t="str">
        <x:v>Experimentos verificables antes de escalar · responsables y resultados necesarios · sin inventar datos de piloto</x:v>
      </x:c>
      <x:c r="B2" s="11"/>
      <x:c r="C2" s="11"/>
      <x:c r="D2" s="11"/>
      <x:c r="E2" s="11"/>
      <x:c r="F2" s="11"/>
      <x:c r="G2" s="11"/>
    </x:row>
    <x:row r="3" ht="20" customHeight="1">
      <x:c r="A3" s="2"/>
      <x:c r="B3" s="2"/>
      <x:c r="C3" s="2"/>
      <x:c r="D3" s="2"/>
      <x:c r="E3" s="2"/>
      <x:c r="F3" s="2"/>
      <x:c r="G3" s="2"/>
    </x:row>
    <x:row r="4" ht="27" customHeight="1">
      <x:c r="A4" s="16" t="str">
        <x:v>Supuesto ID</x:v>
      </x:c>
      <x:c r="B4" s="16" t="str">
        <x:v>Hipótesis crítica</x:v>
      </x:c>
      <x:c r="C4" s="16" t="str">
        <x:v>Fuente / experimento</x:v>
      </x:c>
      <x:c r="D4" s="16" t="str">
        <x:v>Métrica objetivo</x:v>
      </x:c>
      <x:c r="E4" s="16" t="str">
        <x:v>Criterio / compuerta</x:v>
      </x:c>
      <x:c r="F4" s="16" t="str">
        <x:v>Responsable</x:v>
      </x:c>
      <x:c r="G4" s="16" t="str">
        <x:v>Plazo</x:v>
      </x:c>
    </x:row>
    <x:row r="5" ht="60" customHeight="1">
      <x:c r="A5" s="90" t="str">
        <x:v>H02</x:v>
      </x:c>
      <x:c r="B5" s="90" t="str">
        <x:v>7200 entregas anuales en 8 sedes</x:v>
      </x:c>
      <x:c r="C5" s="90" t="str">
        <x:v>Exportación CRM últimos 12–24 meses</x:v>
      </x:c>
      <x:c r="D5" s="90" t="str">
        <x:v>Entregas usadas por sede/mes</x:v>
      </x:c>
      <x:c r="E5" s="90" t="str">
        <x:v>Actualizar ventas y capacidad; mantener sedes fijas</x:v>
      </x:c>
      <x:c r="F5" s="90" t="str">
        <x:v>Dir. comercial / BI</x:v>
      </x:c>
      <x:c r="G5" s="90" t="str">
        <x:v>Mes 1</x:v>
      </x:c>
    </x:row>
    <x:row r="6" ht="60" customHeight="1">
      <x:c r="A6" s="90" t="str">
        <x:v>H07</x:v>
      </x:c>
      <x:c r="B6" s="90" t="str">
        <x:v>65% requiere 1er servicio ≤180 días</x:v>
      </x:c>
      <x:c r="C6" s="90" t="str">
        <x:v>Muestrear compradores, fechas y OTs</x:v>
      </x:c>
      <x:c r="D6" s="90" t="str">
        <x:v>% cohorte con primer servicio exigible</x:v>
      </x:c>
      <x:c r="E6" s="90" t="str">
        <x:v>Ajustar ventana temporal y mix</x:v>
      </x:c>
      <x:c r="F6" s="90" t="str">
        <x:v>Líder taller / BI</x:v>
      </x:c>
      <x:c r="G6" s="90" t="str">
        <x:v>Mes 1</x:v>
      </x:c>
    </x:row>
    <x:row r="7" ht="60" customHeight="1">
      <x:c r="A7" s="90" t="str">
        <x:v>H08</x:v>
      </x:c>
      <x:c r="B7" s="90" t="str">
        <x:v>80% con plan e historial verificables</x:v>
      </x:c>
      <x:c r="C7" s="90" t="str">
        <x:v>Auditoría VIN/motor/historial en 100–200 vehículos</x:v>
      </x:c>
      <x:c r="D7" s="90" t="str">
        <x:v>% recomendación con evidencia</x:v>
      </x:c>
      <x:c r="E7" s="90" t="str">
        <x:v>Si &lt;70%: priorizar captura datos; no automatizar los casos inciertos</x:v>
      </x:c>
      <x:c r="F7" s="90" t="str">
        <x:v>Calidad de datos</x:v>
      </x:c>
      <x:c r="G7" s="90" t="str">
        <x:v>Mes 1</x:v>
      </x:c>
    </x:row>
    <x:row r="8" ht="60" customHeight="1">
      <x:c r="A8" s="90" t="str">
        <x:v>H09–H10</x:v>
      </x:c>
      <x:c r="B8" s="90" t="str">
        <x:v>65% opt-in y 90% contactable</x:v>
      </x:c>
      <x:c r="C8" s="90" t="str">
        <x:v>Revisar consentimientos + prueba contacto</x:v>
      </x:c>
      <x:c r="D8" s="90" t="str">
        <x:v>% contacto legal y entregable</x:v>
      </x:c>
      <x:c r="E8" s="90" t="str">
        <x:v>Bloquear proactivos sin evidencia del consentimiento</x:v>
      </x:c>
      <x:c r="F8" s="90" t="str">
        <x:v>Legal / CRM</x:v>
      </x:c>
      <x:c r="G8" s="90" t="str">
        <x:v>Mes 1–2</x:v>
      </x:c>
    </x:row>
    <x:row r="9" ht="60" customHeight="1">
      <x:c r="A9" s="90" t="str">
        <x:v>H12</x:v>
      </x:c>
      <x:c r="B9" s="90" t="str">
        <x:v>Control 22% servicio completado</x:v>
      </x:c>
      <x:c r="C9" s="90" t="str">
        <x:v>DMS 12 meses; ventana a 180 días</x:v>
      </x:c>
      <x:c r="D9" s="90" t="str">
        <x:v>Tasa histórica de 1er servicio</x:v>
      </x:c>
      <x:c r="E9" s="90" t="str">
        <x:v>Recalibrar ANTES del piloto; no atribuir Cox</x:v>
      </x:c>
      <x:c r="F9" s="90" t="str">
        <x:v>Finanzas / BI</x:v>
      </x:c>
      <x:c r="G9" s="90" t="str">
        <x:v>Mes 1</x:v>
      </x:c>
    </x:row>
    <x:row r="10" ht="60" customHeight="1">
      <x:c r="A10" s="90" t="str">
        <x:v>H13</x:v>
      </x:c>
      <x:c r="B10" s="90" t="str">
        <x:v>Tratamiento 45%; uplift +23 pp</x:v>
      </x:c>
      <x:c r="C10" s="90" t="str">
        <x:v>Piloto aleatorizado tratamiento/control</x:v>
      </x:c>
      <x:c r="D10" s="90" t="str">
        <x:v>Diferencia de tasas, IC95 y margen/cliente</x:v>
      </x:c>
      <x:c r="E10" s="90" t="str">
        <x:v>No escalar solo por clics: positivo incremental y calidad aceptable</x:v>
      </x:c>
      <x:c r="F10" s="90" t="str">
        <x:v>Producto / BI</x:v>
      </x:c>
      <x:c r="G10" s="90" t="str">
        <x:v>Mes 3–4</x:v>
      </x:c>
    </x:row>
    <x:row r="11" ht="60" customHeight="1">
      <x:c r="A11" s="90" t="str">
        <x:v>H14–H15</x:v>
      </x:c>
      <x:c r="B11" s="90" t="str">
        <x:v>Ticket 450k COP; margen 35%</x:v>
      </x:c>
      <x:c r="C11" s="90" t="str">
        <x:v>Conciliar ventas, repuestos, mano de obra por OT</x:v>
      </x:c>
      <x:c r="D11" s="90" t="str">
        <x:v>Margen contribución incremental</x:v>
      </x:c>
      <x:c r="E11" s="90" t="str">
        <x:v>Ajustar ticket NETO IVA y costo variable</x:v>
      </x:c>
      <x:c r="F11" s="90" t="str">
        <x:v>Finanzas / taller</x:v>
      </x:c>
      <x:c r="G11" s="90" t="str">
        <x:v>Mes 1–2</x:v>
      </x:c>
    </x:row>
    <x:row r="12" ht="60" customHeight="1">
      <x:c r="A12" s="90" t="str">
        <x:v>H16</x:v>
      </x:c>
      <x:c r="B12" s="90" t="str">
        <x:v>18 citas extra/sede/mes</x:v>
      </x:c>
      <x:c r="C12" s="90" t="str">
        <x:v>Capacidad por bahía/turno (ocupación real)</x:v>
      </x:c>
      <x:c r="D12" s="90" t="str">
        <x:v>Cupos no desplazados a clientes actuales</x:v>
      </x:c>
      <x:c r="E12" s="90" t="str">
        <x:v>Si excede capacidad: bajar campañas/expandir turnos</x:v>
      </x:c>
      <x:c r="F12" s="90" t="str">
        <x:v>Operaciones</x:v>
      </x:c>
      <x:c r="G12" s="90" t="str">
        <x:v>Mes 2–3</x:v>
      </x:c>
    </x:row>
    <x:row r="13" ht="60" customHeight="1">
      <x:c r="A13" s="90" t="str">
        <x:v>H17–H23</x:v>
      </x:c>
      <x:c r="B13" s="90" t="str">
        <x:v>Costo IA real por conversación</x:v>
      </x:c>
      <x:c r="C13" s="90" t="str">
        <x:v>Logs tokens + rate card vigente + casos IA</x:v>
      </x:c>
      <x:c r="D13" s="90" t="str">
        <x:v>COP / conversación, fallos y handoff</x:v>
      </x:c>
      <x:c r="E13" s="90" t="str">
        <x:v>Presupuesto/alerta + revisar prompts y cache</x:v>
      </x:c>
      <x:c r="F13" s="90" t="str">
        <x:v>IA / FinOps</x:v>
      </x:c>
      <x:c r="G13" s="90" t="str">
        <x:v>Mes 2–3</x:v>
      </x:c>
    </x:row>
    <x:row r="14" ht="60" customHeight="1">
      <x:c r="A14" s="90" t="str">
        <x:v>H18–H20</x:v>
      </x:c>
      <x:c r="B14" s="90" t="str">
        <x:v>Costo contactos y plantilla WhatsApp</x:v>
      </x:c>
      <x:c r="C14" s="90" t="str">
        <x:v>Cotización BSP + categoría aprobado Meta</x:v>
      </x:c>
      <x:c r="D14" s="90" t="str">
        <x:v>COP entregado por finalidad</x:v>
      </x:c>
      <x:c r="E14" s="90" t="str">
        <x:v>No mezclar plantilla comercial y utility; opt-in válido</x:v>
      </x:c>
      <x:c r="F14" s="90" t="str">
        <x:v>Growth / Legal</x:v>
      </x:c>
      <x:c r="G14" s="90" t="str">
        <x:v>Mes 2–3</x:v>
      </x:c>
    </x:row>
    <x:row r="15" ht="60" customHeight="1">
      <x:c r="A15" s="90" t="str">
        <x:v>H21–H22</x:v>
      </x:c>
      <x:c r="B15" s="90" t="str">
        <x:v>Escalamiento humano marginal</x:v>
      </x:c>
      <x:c r="C15" s="90" t="str">
        <x:v>Medir casos por intención, tiempo y SLA</x:v>
      </x:c>
      <x:c r="D15" s="90" t="str">
        <x:v>Costo real/handoff; resolución</x:v>
      </x:c>
      <x:c r="E15" s="90" t="str">
        <x:v>Replanificar capacidad humana y SLA</x:v>
      </x:c>
      <x:c r="F15" s="90" t="str">
        <x:v>Jefe postventa</x:v>
      </x:c>
      <x:c r="G15" s="90" t="str">
        <x:v>Mes 3–4</x:v>
      </x:c>
    </x:row>
    <x:row r="16" ht="60" customHeight="1">
      <x:c r="A16" s="90" t="str">
        <x:v>H27–H29</x:v>
      </x:c>
      <x:c r="B16" s="90" t="str">
        <x:v>Eficiencia monetizable 0 inicialmente</x:v>
      </x:c>
      <x:c r="C16" s="90" t="str">
        <x:v>Time-and-motion + plan de reasignación</x:v>
      </x:c>
      <x:c r="D16" s="90" t="str">
        <x:v>COP realmente ahorrado/horas usadas</x:v>
      </x:c>
      <x:c r="E16" s="90" t="str">
        <x:v>Registrar valor 0 si no hay evidencia de monetización</x:v>
      </x:c>
      <x:c r="F16" s="90" t="str">
        <x:v>Operaciones / RR.HH.</x:v>
      </x:c>
      <x:c r="G16" s="90" t="str">
        <x:v>Mes 4–6</x:v>
      </x:c>
    </x:row>
    <x:row r="17" ht="60" customHeight="1">
      <x:c r="A17" s="90" t="str">
        <x:v>CRO</x:v>
      </x:c>
      <x:c r="B17" s="90" t="str">
        <x:v>Seguridad de agente y consentimiento</x:v>
      </x:c>
      <x:c r="C17" s="90" t="str">
        <x:v>Evals críticas: daños, PII, prompts, casos</x:v>
      </x:c>
      <x:c r="D17" s="90" t="str">
        <x:v>Fallos críticos y desvíos de procesos</x:v>
      </x:c>
      <x:c r="E17" s="90" t="str">
        <x:v>0 críticos reproducibles antes de expandir</x:v>
      </x:c>
      <x:c r="F17" s="90" t="str">
        <x:v>AppSec / Calidad</x:v>
      </x:c>
      <x:c r="G17" s="90" t="str">
        <x:v>Antes del piloto</x:v>
      </x:c>
    </x:row>
    <x:row r="18" ht="60" customHeight="1">
      <x:c r="A18" s="90" t="str">
        <x:v>ECON</x:v>
      </x:c>
      <x:c r="B18" s="90" t="str">
        <x:v>Economía positiva vs grupo control</x:v>
      </x:c>
      <x:c r="C18" s="90" t="str">
        <x:v>Unit economics con OT observadas y costos reales</x:v>
      </x:c>
      <x:c r="D18" s="90" t="str">
        <x:v>VPN y neto/cliente piloto</x:v>
      </x:c>
      <x:c r="E18" s="90" t="str">
        <x:v>Continuar con expansión solo con límites de pérdida</x:v>
      </x:c>
      <x:c r="F18" s="90" t="str">
        <x:v>CEO / CFO</x:v>
      </x:c>
      <x:c r="G18" s="90" t="str">
        <x:v>Mes 4–6</x:v>
      </x:c>
    </x:row>
    <x:row r="19" ht="20" customHeight="1">
      <x:c r="A19" s="2"/>
      <x:c r="B19" s="2"/>
      <x:c r="C19" s="2"/>
      <x:c r="D19" s="2"/>
      <x:c r="E19" s="2"/>
      <x:c r="F19" s="2"/>
      <x:c r="G19" s="2"/>
    </x:row>
    <x:row r="20" ht="20" customHeight="1">
      <x:c r="A20" s="2"/>
      <x:c r="B20" s="2"/>
      <x:c r="C20" s="2"/>
      <x:c r="D20" s="2"/>
      <x:c r="E20" s="2"/>
      <x:c r="F20" s="2"/>
      <x:c r="G20" s="2"/>
    </x:row>
    <x:row r="21" ht="24" customHeight="1">
      <x:c r="A21" s="30" t="str">
        <x:v>COMPUERTAS DE INVERSIÓN EN 6 MESES</x:v>
      </x:c>
      <x:c r="B21" s="30"/>
      <x:c r="C21" s="30"/>
      <x:c r="D21" s="30"/>
      <x:c r="E21" s="30"/>
      <x:c r="F21" s="30"/>
      <x:c r="G21" s="30"/>
    </x:row>
    <x:row r="22" ht="27" customHeight="1">
      <x:c r="A22" s="16" t="str">
        <x:v>Fase</x:v>
      </x:c>
      <x:c r="B22" s="16" t="str">
        <x:v>Cuándo</x:v>
      </x:c>
      <x:c r="C22" s="16" t="str">
        <x:v>Evidencia necesaria</x:v>
      </x:c>
      <x:c r="D22" s="16" t="str">
        <x:v>Decisión</x:v>
      </x:c>
      <x:c r="E22" s="16" t="str">
        <x:v>Criterio inicial</x:v>
      </x:c>
      <x:c r="F22" s="16" t="str">
        <x:v>Responsable</x:v>
      </x:c>
      <x:c r="G22" s="16" t="str">
        <x:v>Fuente</x:v>
      </x:c>
    </x:row>
    <x:row r="23" ht="45" customHeight="1">
      <x:c r="A23" s="90" t="str">
        <x:v>G0</x:v>
      </x:c>
      <x:c r="B23" s="90" t="str">
        <x:v>Mes 1</x:v>
      </x:c>
      <x:c r="C23" s="90" t="str">
        <x:v>Datos y consentimiento auditables</x:v>
      </x:c>
      <x:c r="D23" s="90" t="str">
        <x:v>GO/REWORK</x:v>
      </x:c>
      <x:c r="E23" s="90" t="str">
        <x:v>No activar recomendaciones sin plan técnico verificable</x:v>
      </x:c>
      <x:c r="F23" s="90" t="str">
        <x:v>CPO + legal</x:v>
      </x:c>
      <x:c r="G23" s="90" t="str">
        <x:v>Producto</x:v>
      </x:c>
    </x:row>
    <x:row r="24" ht="45" customHeight="1">
      <x:c r="A24" s="90" t="str">
        <x:v>G1</x:v>
      </x:c>
      <x:c r="B24" s="90" t="str">
        <x:v>Mes 2</x:v>
      </x:c>
      <x:c r="C24" s="90" t="str">
        <x:v>Contratos CRM/taller, agenda y staff</x:v>
      </x:c>
      <x:c r="D24" s="90" t="str">
        <x:v>GO/REWORK</x:v>
      </x:c>
      <x:c r="E24" s="90" t="str">
        <x:v>Sin doble reserva, sin exposición PII en traces</x:v>
      </x:c>
      <x:c r="F24" s="90" t="str">
        <x:v>CTO</x:v>
      </x:c>
      <x:c r="G24" s="90" t="str">
        <x:v>QA</x:v>
      </x:c>
    </x:row>
    <x:row r="25" ht="45" customHeight="1">
      <x:c r="A25" s="90" t="str">
        <x:v>G2</x:v>
      </x:c>
      <x:c r="B25" s="90" t="str">
        <x:v>Mes 3</x:v>
      </x:c>
      <x:c r="C25" s="90" t="str">
        <x:v>Piloto controlado con grupo control</x:v>
      </x:c>
      <x:c r="D25" s="90" t="str">
        <x:v>GO/STOP</x:v>
      </x:c>
      <x:c r="E25" s="90" t="str">
        <x:v>0 fallos críticos de seguridad y consentimiento</x:v>
      </x:c>
      <x:c r="F25" s="90" t="str">
        <x:v>CPO + taller</x:v>
      </x:c>
      <x:c r="G25" s="90" t="str">
        <x:v>Evals</x:v>
      </x:c>
    </x:row>
    <x:row r="26" ht="45" customHeight="1">
      <x:c r="A26" s="90" t="str">
        <x:v>G3</x:v>
      </x:c>
      <x:c r="B26" s="90" t="str">
        <x:v>Mes 4–5</x:v>
      </x:c>
      <x:c r="C26" s="90" t="str">
        <x:v>Uplift servicio y contribución neta observados</x:v>
      </x:c>
      <x:c r="D26" s="90" t="str">
        <x:v>GO/ITERATE/STOP</x:v>
      </x:c>
      <x:c r="E26" s="90" t="str">
        <x:v>Demostrar señal de margen por cliente; evaluar IC</x:v>
      </x:c>
      <x:c r="F26" s="90" t="str">
        <x:v>CFO + producto</x:v>
      </x:c>
      <x:c r="G26" s="90" t="str">
        <x:v>DMS + A/B</x:v>
      </x:c>
    </x:row>
    <x:row r="27" ht="20" customHeight="1">
      <x:c r="A27" s="2"/>
      <x:c r="B27" s="2"/>
      <x:c r="C27" s="2"/>
      <x:c r="D27" s="2"/>
      <x:c r="E27" s="2"/>
      <x:c r="F27" s="2"/>
      <x:c r="G27" s="2"/>
    </x:row>
    <x:row r="28" ht="20" customHeight="1">
      <x:c r="A28" s="2"/>
      <x:c r="B28" s="2"/>
      <x:c r="C28" s="2"/>
      <x:c r="D28" s="2"/>
      <x:c r="E28" s="2"/>
      <x:c r="F28" s="2"/>
      <x:c r="G28" s="2"/>
    </x:row>
    <x:row r="29" ht="20" customHeight="1">
      <x:c r="A29" s="2"/>
      <x:c r="B29" s="2"/>
      <x:c r="C29" s="2"/>
      <x:c r="D29" s="2"/>
      <x:c r="E29" s="2"/>
      <x:c r="F29" s="2"/>
      <x:c r="G29" s="2"/>
    </x:row>
    <x:row r="30" ht="20" customHeight="1">
      <x:c r="A30" s="2"/>
      <x:c r="B30" s="2"/>
      <x:c r="C30" s="2"/>
      <x:c r="D30" s="2"/>
      <x:c r="E30" s="2"/>
      <x:c r="F30" s="2"/>
      <x:c r="G30" s="2"/>
    </x:row>
    <x:row r="31" ht="20" customHeight="1">
      <x:c r="A31" s="2"/>
      <x:c r="B31" s="2"/>
      <x:c r="C31" s="2"/>
      <x:c r="D31" s="2"/>
      <x:c r="E31" s="2"/>
      <x:c r="F31" s="2"/>
      <x:c r="G31" s="2"/>
    </x:row>
    <x:row r="32" ht="20" customHeight="1">
      <x:c r="A32" s="2"/>
      <x:c r="B32" s="2"/>
      <x:c r="C32" s="2"/>
      <x:c r="D32" s="2"/>
      <x:c r="E32" s="2"/>
      <x:c r="F32" s="2"/>
      <x:c r="G32" s="2"/>
    </x:row>
    <x:row r="33" ht="20" customHeight="1">
      <x:c r="A33" s="2"/>
      <x:c r="B33" s="2"/>
      <x:c r="C33" s="2"/>
      <x:c r="D33" s="2"/>
      <x:c r="E33" s="2"/>
      <x:c r="F33" s="2"/>
      <x:c r="G33" s="2"/>
    </x:row>
    <x:row r="34" ht="20" customHeight="1">
      <x:c r="A34" s="2"/>
      <x:c r="B34" s="2"/>
      <x:c r="C34" s="2"/>
      <x:c r="D34" s="2"/>
      <x:c r="E34" s="2"/>
      <x:c r="F34" s="2"/>
      <x:c r="G34" s="2"/>
    </x:row>
    <x:row r="35" ht="20" customHeight="1">
      <x:c r="A35" s="2"/>
      <x:c r="B35" s="2"/>
      <x:c r="C35" s="2"/>
      <x:c r="D35" s="2"/>
      <x:c r="E35" s="2"/>
      <x:c r="F35" s="2"/>
      <x:c r="G35" s="2"/>
    </x:row>
    <x:row r="36" ht="20" customHeight="1">
      <x:c r="A36" s="2"/>
      <x:c r="B36" s="2"/>
      <x:c r="C36" s="2"/>
      <x:c r="D36" s="2"/>
      <x:c r="E36" s="2"/>
      <x:c r="F36" s="2"/>
      <x:c r="G36" s="2"/>
    </x:row>
    <x:row r="37" ht="20" customHeight="1">
      <x:c r="A37" s="2"/>
      <x:c r="B37" s="2"/>
      <x:c r="C37" s="2"/>
      <x:c r="D37" s="2"/>
      <x:c r="E37" s="2"/>
      <x:c r="F37" s="2"/>
      <x:c r="G37" s="2"/>
    </x:row>
    <x:row r="38" ht="20" customHeight="1">
      <x:c r="A38" s="2"/>
      <x:c r="B38" s="2"/>
      <x:c r="C38" s="2"/>
      <x:c r="D38" s="2"/>
      <x:c r="E38" s="2"/>
      <x:c r="F38" s="2"/>
      <x:c r="G38" s="2"/>
    </x:row>
    <x:row r="39" ht="20" customHeight="1">
      <x:c r="A39" s="2"/>
      <x:c r="B39" s="2"/>
      <x:c r="C39" s="2"/>
      <x:c r="D39" s="2"/>
      <x:c r="E39" s="2"/>
      <x:c r="F39" s="2"/>
      <x:c r="G39" s="2"/>
    </x:row>
    <x:row r="40" ht="20" customHeight="1">
      <x:c r="A40" s="2"/>
      <x:c r="B40" s="2"/>
      <x:c r="C40" s="2"/>
      <x:c r="D40" s="2"/>
      <x:c r="E40" s="2"/>
      <x:c r="F40" s="2"/>
      <x:c r="G40" s="2"/>
    </x:row>
    <x:row r="41" ht="20" customHeight="1">
      <x:c r="A41" s="2"/>
      <x:c r="B41" s="2"/>
      <x:c r="C41" s="2"/>
      <x:c r="D41" s="2"/>
      <x:c r="E41" s="2"/>
      <x:c r="F41" s="2"/>
      <x:c r="G41" s="2"/>
    </x:row>
    <x:row r="42" ht="20" customHeight="1">
      <x:c r="A42" s="2"/>
      <x:c r="B42" s="2"/>
      <x:c r="C42" s="2"/>
      <x:c r="D42" s="2"/>
      <x:c r="E42" s="2"/>
      <x:c r="F42" s="2"/>
      <x:c r="G42" s="2"/>
    </x:row>
    <x:row r="43" ht="20" customHeight="1">
      <x:c r="A43" s="2"/>
      <x:c r="B43" s="2"/>
      <x:c r="C43" s="2"/>
      <x:c r="D43" s="2"/>
      <x:c r="E43" s="2"/>
      <x:c r="F43" s="2"/>
      <x:c r="G43" s="2"/>
    </x:row>
    <x:row r="44" ht="20" customHeight="1">
      <x:c r="A44" s="2"/>
      <x:c r="B44" s="2"/>
      <x:c r="C44" s="2"/>
      <x:c r="D44" s="2"/>
      <x:c r="E44" s="2"/>
      <x:c r="F44" s="2"/>
      <x:c r="G44" s="2"/>
    </x:row>
    <x:row r="45" ht="20" customHeight="1">
      <x:c r="A45" s="2"/>
      <x:c r="B45" s="2"/>
      <x:c r="C45" s="2"/>
      <x:c r="D45" s="2"/>
      <x:c r="E45" s="2"/>
      <x:c r="F45" s="2"/>
      <x:c r="G45" s="2"/>
    </x:row>
    <x:row r="46" ht="20" customHeight="1">
      <x:c r="A46" s="2"/>
      <x:c r="B46" s="2"/>
      <x:c r="C46" s="2"/>
      <x:c r="D46" s="2"/>
      <x:c r="E46" s="2"/>
      <x:c r="F46" s="2"/>
      <x:c r="G46" s="2"/>
    </x:row>
    <x:row r="47" ht="20" customHeight="1">
      <x:c r="A47" s="2"/>
      <x:c r="B47" s="2"/>
      <x:c r="C47" s="2"/>
      <x:c r="D47" s="2"/>
      <x:c r="E47" s="2"/>
      <x:c r="F47" s="2"/>
      <x:c r="G47" s="2"/>
    </x:row>
    <x:row r="48" ht="20" customHeight="1">
      <x:c r="A48" s="2"/>
      <x:c r="B48" s="2"/>
      <x:c r="C48" s="2"/>
      <x:c r="D48" s="2"/>
      <x:c r="E48" s="2"/>
      <x:c r="F48" s="2"/>
      <x:c r="G48" s="2"/>
    </x:row>
    <x:row r="49" ht="20" customHeight="1">
      <x:c r="A49" s="2"/>
      <x:c r="B49" s="2"/>
      <x:c r="C49" s="2"/>
      <x:c r="D49" s="2"/>
      <x:c r="E49" s="2"/>
      <x:c r="F49" s="2"/>
      <x:c r="G49" s="2"/>
    </x:row>
    <x:row r="50" ht="20" customHeight="1">
      <x:c r="A50" s="2"/>
      <x:c r="B50" s="2"/>
      <x:c r="C50" s="2"/>
      <x:c r="D50" s="2"/>
      <x:c r="E50" s="2"/>
      <x:c r="F50" s="2"/>
      <x:c r="G50" s="2"/>
    </x:row>
    <x:row r="51" ht="20" customHeight="1">
      <x:c r="A51" s="2"/>
      <x:c r="B51" s="2"/>
      <x:c r="C51" s="2"/>
      <x:c r="D51" s="2"/>
      <x:c r="E51" s="2"/>
      <x:c r="F51" s="2"/>
      <x:c r="G51" s="2"/>
    </x:row>
    <x:row r="52" ht="20" customHeight="1">
      <x:c r="A52" s="2"/>
      <x:c r="B52" s="2"/>
      <x:c r="C52" s="2"/>
      <x:c r="D52" s="2"/>
      <x:c r="E52" s="2"/>
      <x:c r="F52" s="2"/>
      <x:c r="G52" s="2"/>
    </x:row>
    <x:row r="53" ht="20" customHeight="1">
      <x:c r="A53" s="2"/>
      <x:c r="B53" s="2"/>
      <x:c r="C53" s="2"/>
      <x:c r="D53" s="2"/>
      <x:c r="E53" s="2"/>
      <x:c r="F53" s="2"/>
      <x:c r="G53" s="2"/>
    </x:row>
    <x:row r="54" ht="20" customHeight="1">
      <x:c r="A54" s="2"/>
      <x:c r="B54" s="2"/>
      <x:c r="C54" s="2"/>
      <x:c r="D54" s="2"/>
      <x:c r="E54" s="2"/>
      <x:c r="F54" s="2"/>
      <x:c r="G54" s="2"/>
    </x:row>
    <x:row r="55" ht="20" customHeight="1">
      <x:c r="A55" s="2"/>
      <x:c r="B55" s="2"/>
      <x:c r="C55" s="2"/>
      <x:c r="D55" s="2"/>
      <x:c r="E55" s="2"/>
      <x:c r="F55" s="2"/>
      <x:c r="G55" s="2"/>
    </x:row>
    <x:row r="56" ht="20" customHeight="1">
      <x:c r="A56" s="2"/>
      <x:c r="B56" s="2"/>
      <x:c r="C56" s="2"/>
      <x:c r="D56" s="2"/>
      <x:c r="E56" s="2"/>
      <x:c r="F56" s="2"/>
      <x:c r="G56" s="2"/>
    </x:row>
    <x:row r="57" ht="20" customHeight="1">
      <x:c r="A57" s="2"/>
      <x:c r="B57" s="2"/>
      <x:c r="C57" s="2"/>
      <x:c r="D57" s="2"/>
      <x:c r="E57" s="2"/>
      <x:c r="F57" s="2"/>
      <x:c r="G57" s="2"/>
    </x:row>
    <x:row r="58" ht="20" customHeight="1">
      <x:c r="A58" s="2"/>
      <x:c r="B58" s="2"/>
      <x:c r="C58" s="2"/>
      <x:c r="D58" s="2"/>
      <x:c r="E58" s="2"/>
      <x:c r="F58" s="2"/>
      <x:c r="G58" s="2"/>
    </x:row>
    <x:row r="59" ht="20" customHeight="1">
      <x:c r="A59" s="2"/>
      <x:c r="B59" s="2"/>
      <x:c r="C59" s="2"/>
      <x:c r="D59" s="2"/>
      <x:c r="E59" s="2"/>
      <x:c r="F59" s="2"/>
      <x:c r="G59" s="2"/>
    </x:row>
    <x:row r="60" ht="20" customHeight="1">
      <x:c r="A60" s="2"/>
      <x:c r="B60" s="2"/>
      <x:c r="C60" s="2"/>
      <x:c r="D60" s="2"/>
      <x:c r="E60" s="2"/>
      <x:c r="F60" s="2"/>
      <x:c r="G60" s="2"/>
    </x:row>
    <x:row r="61" ht="20" customHeight="1">
      <x:c r="A61" s="2"/>
      <x:c r="B61" s="2"/>
      <x:c r="C61" s="2"/>
      <x:c r="D61" s="2"/>
      <x:c r="E61" s="2"/>
      <x:c r="F61" s="2"/>
      <x:c r="G61" s="2"/>
    </x:row>
    <x:row r="62" ht="20" customHeight="1">
      <x:c r="A62" s="2"/>
      <x:c r="B62" s="2"/>
      <x:c r="C62" s="2"/>
      <x:c r="D62" s="2"/>
      <x:c r="E62" s="2"/>
      <x:c r="F62" s="2"/>
      <x:c r="G62" s="2"/>
    </x:row>
    <x:row r="63" ht="20" customHeight="1">
      <x:c r="A63" s="2"/>
      <x:c r="B63" s="2"/>
      <x:c r="C63" s="2"/>
      <x:c r="D63" s="2"/>
      <x:c r="E63" s="2"/>
      <x:c r="F63" s="2"/>
      <x:c r="G63" s="2"/>
    </x:row>
    <x:row r="64" ht="20" customHeight="1">
      <x:c r="A64" s="2"/>
      <x:c r="B64" s="2"/>
      <x:c r="C64" s="2"/>
      <x:c r="D64" s="2"/>
      <x:c r="E64" s="2"/>
      <x:c r="F64" s="2"/>
      <x:c r="G64" s="2"/>
    </x:row>
    <x:row r="65" ht="20" customHeight="1">
      <x:c r="A65" s="2"/>
      <x:c r="B65" s="2"/>
      <x:c r="C65" s="2"/>
      <x:c r="D65" s="2"/>
      <x:c r="E65" s="2"/>
      <x:c r="F65" s="2"/>
      <x:c r="G65" s="2"/>
    </x:row>
    <x:row r="66" ht="20" customHeight="1">
      <x:c r="A66" s="2"/>
      <x:c r="B66" s="2"/>
      <x:c r="C66" s="2"/>
      <x:c r="D66" s="2"/>
      <x:c r="E66" s="2"/>
      <x:c r="F66" s="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G1"/>
    <x:mergeCell ref="A2:G2"/>
    <x:mergeCell ref="A21:G2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50" hidden="0" customWidth="1"/>
    <x:col min="4" max="4" width="21" hidden="0" customWidth="1"/>
    <x:col min="5" max="5" width="26" hidden="0" customWidth="1"/>
    <x:col min="6" max="6" width="50" hidden="0" customWidth="1"/>
    <x:col min="7" max="7" width="75" hidden="0" customWidth="1"/>
  </x:cols>
  <x:sheetData>
    <x:row r="1" ht="38" customHeight="1">
      <x:c r="A1" s="6" t="str">
        <x:v>FUENTES Y TRAZABILIDAD  |  DATOS OBSERVADOS / TARIFAS / HIPÓTESIS</x:v>
      </x:c>
      <x:c r="B1" s="6"/>
      <x:c r="C1" s="6"/>
      <x:c r="D1" s="6"/>
      <x:c r="E1" s="6"/>
      <x:c r="F1" s="6"/>
      <x:c r="G1" s="6"/>
    </x:row>
    <x:row r="2" ht="28" customHeight="1">
      <x:c r="A2" s="11" t="str">
        <x:v>Datos externos limitados a contexto y precio unitario de LLM. Todo lo demás se marca HIPÓTESIS</x:v>
      </x:c>
      <x:c r="B2" s="11"/>
      <x:c r="C2" s="11"/>
      <x:c r="D2" s="11"/>
      <x:c r="E2" s="11"/>
      <x:c r="F2" s="11"/>
      <x:c r="G2" s="11"/>
    </x:row>
    <x:row r="3" ht="20" customHeight="1">
      <x:c r="A3" s="2"/>
      <x:c r="B3" s="2"/>
      <x:c r="C3" s="2"/>
      <x:c r="D3" s="2"/>
      <x:c r="E3" s="2"/>
      <x:c r="F3" s="2"/>
      <x:c r="G3" s="2"/>
    </x:row>
    <x:row r="4" ht="27" customHeight="1">
      <x:c r="A4" s="16" t="str">
        <x:v>ID</x:v>
      </x:c>
      <x:c r="B4" s="16" t="str">
        <x:v>Fuente / documento</x:v>
      </x:c>
      <x:c r="C4" s="16" t="str">
        <x:v>Dato verificable</x:v>
      </x:c>
      <x:c r="D4" s="16" t="str">
        <x:v>Año o corte</x:v>
      </x:c>
      <x:c r="E4" s="16" t="str">
        <x:v>Uso del modelo</x:v>
      </x:c>
      <x:c r="F4" s="16" t="str">
        <x:v>Limitación / advertencia</x:v>
      </x:c>
      <x:c r="G4" s="16" t="str">
        <x:v>URL original</x:v>
      </x:c>
    </x:row>
    <x:row r="5" ht="36" customHeight="1">
      <x:c r="A5" s="90" t="str">
        <x:v>S01</x:v>
      </x:c>
      <x:c r="B5" s="90" t="str">
        <x:v>RUNT · Balance sector tránsito y transporte 2025</x:v>
      </x:c>
      <x:c r="C5" s="90" t="str">
        <x:v>Traspasos auto 609.300, camionetas 303.691 y totales 1.787.268</x:v>
      </x:c>
      <x:c r="D5" s="90" t="str">
        <x:v>2025</x:v>
      </x:c>
      <x:c r="E5" s="90" t="str">
        <x:v>Mercado!B5:B9</x:v>
      </x:c>
      <x:c r="F5" s="90" t="str">
        <x:v>Son trámites, no clientes únicos</x:v>
      </x:c>
      <x:c r="G5" s="90" t="str">
        <x:v>https://www.runt.gov.co/sites/default/files/documentos/Balance%20del%20Sector%20Tr%C3%A1nsito%20y%20Transporte%202025%20%281%29_0.pdf</x:v>
      </x:c>
    </x:row>
    <x:row r="6" ht="36" customHeight="1">
      <x:c r="A6" s="90" t="str">
        <x:v>S02</x:v>
      </x:c>
      <x:c r="B6" s="90" t="str">
        <x:v>Cox Automotive · Fixed Ops and Ownership Study 2025</x:v>
      </x:c>
      <x:c r="C6" s="90" t="str">
        <x:v>Intención recompra 74% vs 44%; experiencia de servicio</x:v>
      </x:c>
      <x:c r="D6" s="90" t="str">
        <x:v>2025 / publ. 2026</x:v>
      </x:c>
      <x:c r="E6" s="90" t="str">
        <x:v>Contexto cualitativo</x:v>
      </x:c>
      <x:c r="F6" s="90" t="str">
        <x:v>EE. UU.; observacional; NO input de uplift en el modelo</x:v>
      </x:c>
      <x:c r="G6" s="90" t="str">
        <x:v>https://www.coxautoinc.com/retail/resources/ownership-study/</x:v>
      </x:c>
    </x:row>
    <x:row r="7" ht="36" customHeight="1">
      <x:c r="A7" s="90" t="str">
        <x:v>S03</x:v>
      </x:c>
      <x:c r="B7" s="90" t="str">
        <x:v>WhatsApp Business · Platform pricing</x:v>
      </x:c>
      <x:c r="C7" s="90" t="str">
        <x:v>Cargo por mensaje entregado; por categoría y país</x:v>
      </x:c>
      <x:c r="D7" s="90" t="str">
        <x:v>Consulta oct 2026</x:v>
      </x:c>
      <x:c r="E7" s="90" t="str">
        <x:v>Categorías/costo canal</x:v>
      </x:c>
      <x:c r="F7" s="90" t="str">
        <x:v>La tarifa COP H20 es HIPÓTESIS; verificar contrato Meta/BSP</x:v>
      </x:c>
      <x:c r="G7" s="90" t="str">
        <x:v>https://whatsappbusiness.com/products/platform-pricing/</x:v>
      </x:c>
    </x:row>
    <x:row r="8" ht="36" customHeight="1">
      <x:c r="A8" s="90" t="str">
        <x:v>S04</x:v>
      </x:c>
      <x:c r="B8" s="90" t="str">
        <x:v>Anthropic · Claude API pricing</x:v>
      </x:c>
      <x:c r="C8" s="90" t="str">
        <x:v>Sonnet 4.6: USD 3/MTok input y 15/MTok output</x:v>
      </x:c>
      <x:c r="D8" s="90" t="str">
        <x:v>Consulta oct 2026</x:v>
      </x:c>
      <x:c r="E8" s="90" t="str">
        <x:v>Costos!B24:B25</x:v>
      </x:c>
      <x:c r="F8" s="90" t="str">
        <x:v>Tarifa lista global, no promesa comercial; revisar vigencia</x:v>
      </x:c>
      <x:c r="G8" s="90" t="str">
        <x:v>https://platform.claude.com/docs/en/about-claude/pricing</x:v>
      </x:c>
    </x:row>
    <x:row r="9" ht="36" customHeight="1">
      <x:c r="A9" s="90" t="str">
        <x:v>S05</x:v>
      </x:c>
      <x:c r="B9" s="90" t="str">
        <x:v>RUNT · Consulta histórico vehicular</x:v>
      </x:c>
      <x:c r="C9" s="90" t="str">
        <x:v>Contexto de servicios futuros</x:v>
      </x:c>
      <x:c r="D9" s="90" t="str">
        <x:v>Consulta oct 2026</x:v>
      </x:c>
      <x:c r="E9" s="90" t="str">
        <x:v>NO monetizado</x:v>
      </x:c>
      <x:c r="F9" s="90" t="str">
        <x:v>Integración sujeta a acuerdos y licitud de uso</x:v>
      </x:c>
      <x:c r="G9" s="90" t="str">
        <x:v>https://www.runt.gov.co/</x:v>
      </x:c>
    </x:row>
    <x:row r="10" ht="36" customHeight="1">
      <x:c r="A10" s="90" t="str">
        <x:v>HXX</x:v>
      </x:c>
      <x:c r="B10" s="90" t="str">
        <x:v>Supuestos agencia ficticia</x:v>
      </x:c>
      <x:c r="C10" s="90" t="str">
        <x:v>Ventas, opt-in, ticket, margen, capacidad, costo personal</x:v>
      </x:c>
      <x:c r="D10" s="90" t="str">
        <x:v>Modelado 2026</x:v>
      </x:c>
      <x:c r="E10" s="90" t="str">
        <x:v>Supuestos!B5:D36</x:v>
      </x:c>
      <x:c r="F10" s="90" t="str">
        <x:v>No existe evidencia propia; validar antes de escalar</x:v>
      </x:c>
      <x:c r="G10" s="90" t="str">
        <x:v>No aplica — hipótesis explícita</x:v>
      </x:c>
    </x:row>
    <x:row r="11" ht="20" customHeight="1">
      <x:c r="A11" s="2"/>
      <x:c r="B11" s="2"/>
      <x:c r="C11" s="2"/>
      <x:c r="D11" s="2"/>
      <x:c r="E11" s="2"/>
      <x:c r="F11" s="2"/>
      <x:c r="G11" s="2"/>
    </x:row>
    <x:row r="12" ht="20" customHeight="1">
      <x:c r="A12" s="2"/>
      <x:c r="B12" s="2"/>
      <x:c r="C12" s="2"/>
      <x:c r="D12" s="2"/>
      <x:c r="E12" s="2"/>
      <x:c r="F12" s="2"/>
      <x:c r="G12" s="2"/>
    </x:row>
    <x:row r="13" ht="20" customHeight="1">
      <x:c r="A13" s="2"/>
      <x:c r="B13" s="2"/>
      <x:c r="C13" s="2"/>
      <x:c r="D13" s="2"/>
      <x:c r="E13" s="2"/>
      <x:c r="F13" s="2"/>
      <x:c r="G13" s="2"/>
    </x:row>
    <x:row r="14" ht="20" customHeight="1">
      <x:c r="A14" s="2"/>
      <x:c r="B14" s="2"/>
      <x:c r="C14" s="2"/>
      <x:c r="D14" s="2"/>
      <x:c r="E14" s="2"/>
      <x:c r="F14" s="2"/>
      <x:c r="G14" s="2"/>
    </x:row>
    <x:row r="15" ht="20" customHeight="1">
      <x:c r="A15" s="2"/>
      <x:c r="B15" s="2"/>
      <x:c r="C15" s="2"/>
      <x:c r="D15" s="2"/>
      <x:c r="E15" s="2"/>
      <x:c r="F15" s="2"/>
      <x:c r="G15" s="2"/>
    </x:row>
    <x:row r="16" ht="20" customHeight="1">
      <x:c r="A16" s="2"/>
      <x:c r="B16" s="2"/>
      <x:c r="C16" s="2"/>
      <x:c r="D16" s="2"/>
      <x:c r="E16" s="2"/>
      <x:c r="F16" s="2"/>
      <x:c r="G16" s="2"/>
    </x:row>
    <x:row r="17" ht="20" customHeight="1">
      <x:c r="A17" s="2"/>
      <x:c r="B17" s="2"/>
      <x:c r="C17" s="2"/>
      <x:c r="D17" s="2"/>
      <x:c r="E17" s="2"/>
      <x:c r="F17" s="2"/>
      <x:c r="G17" s="2"/>
    </x:row>
    <x:row r="18" ht="20" customHeight="1">
      <x:c r="A18" s="2"/>
      <x:c r="B18" s="2"/>
      <x:c r="C18" s="2"/>
      <x:c r="D18" s="2"/>
      <x:c r="E18" s="2"/>
      <x:c r="F18" s="2"/>
      <x:c r="G18" s="2"/>
    </x:row>
    <x:row r="19" ht="20" customHeight="1">
      <x:c r="A19" s="2"/>
      <x:c r="B19" s="2"/>
      <x:c r="C19" s="2"/>
      <x:c r="D19" s="2"/>
      <x:c r="E19" s="2"/>
      <x:c r="F19" s="2"/>
      <x:c r="G19" s="2"/>
    </x:row>
    <x:row r="20" ht="20" customHeight="1">
      <x:c r="A20" s="2"/>
      <x:c r="B20" s="2"/>
      <x:c r="C20" s="2"/>
      <x:c r="D20" s="2"/>
      <x:c r="E20" s="2"/>
      <x:c r="F20" s="2"/>
      <x:c r="G20" s="2"/>
    </x:row>
    <x:row r="21" ht="20" customHeight="1">
      <x:c r="A21" s="2"/>
      <x:c r="B21" s="2"/>
      <x:c r="C21" s="2"/>
      <x:c r="D21" s="2"/>
      <x:c r="E21" s="2"/>
      <x:c r="F21" s="2"/>
      <x:c r="G21" s="2"/>
    </x:row>
    <x:row r="22" ht="20" customHeight="1">
      <x:c r="A22" s="2"/>
      <x:c r="B22" s="2"/>
      <x:c r="C22" s="2"/>
      <x:c r="D22" s="2"/>
      <x:c r="E22" s="2"/>
      <x:c r="F22" s="2"/>
      <x:c r="G22" s="2"/>
    </x:row>
    <x:row r="23" ht="20" customHeight="1">
      <x:c r="A23" s="2"/>
      <x:c r="B23" s="2"/>
      <x:c r="C23" s="2"/>
      <x:c r="D23" s="2"/>
      <x:c r="E23" s="2"/>
      <x:c r="F23" s="2"/>
      <x:c r="G23" s="2"/>
    </x:row>
    <x:row r="24" ht="20" customHeight="1">
      <x:c r="A24" s="2"/>
      <x:c r="B24" s="2"/>
      <x:c r="C24" s="2"/>
      <x:c r="D24" s="2"/>
      <x:c r="E24" s="2"/>
      <x:c r="F24" s="2"/>
      <x:c r="G24" s="2"/>
    </x:row>
    <x:row r="25" ht="20" customHeight="1">
      <x:c r="A25" s="2"/>
      <x:c r="B25" s="2"/>
      <x:c r="C25" s="2"/>
      <x:c r="D25" s="2"/>
      <x:c r="E25" s="2"/>
      <x:c r="F25" s="2"/>
      <x:c r="G25" s="2"/>
    </x:row>
    <x:row r="26" ht="20" customHeight="1">
      <x:c r="A26" s="2"/>
      <x:c r="B26" s="2"/>
      <x:c r="C26" s="2"/>
      <x:c r="D26" s="2"/>
      <x:c r="E26" s="2"/>
      <x:c r="F26" s="2"/>
      <x:c r="G26" s="2"/>
    </x:row>
    <x:row r="27" ht="20" customHeight="1">
      <x:c r="A27" s="2"/>
      <x:c r="B27" s="2"/>
      <x:c r="C27" s="2"/>
      <x:c r="D27" s="2"/>
      <x:c r="E27" s="2"/>
      <x:c r="F27" s="2"/>
      <x:c r="G27" s="2"/>
    </x:row>
    <x:row r="28" ht="20" customHeight="1">
      <x:c r="A28" s="2"/>
      <x:c r="B28" s="2"/>
      <x:c r="C28" s="2"/>
      <x:c r="D28" s="2"/>
      <x:c r="E28" s="2"/>
      <x:c r="F28" s="2"/>
      <x:c r="G28" s="2"/>
    </x:row>
    <x:row r="29" ht="20" customHeight="1">
      <x:c r="A29" s="2"/>
      <x:c r="B29" s="2"/>
      <x:c r="C29" s="2"/>
      <x:c r="D29" s="2"/>
      <x:c r="E29" s="2"/>
      <x:c r="F29" s="2"/>
      <x:c r="G29" s="2"/>
    </x:row>
    <x:row r="30" ht="20" customHeight="1">
      <x:c r="A30" s="2"/>
      <x:c r="B30" s="2"/>
      <x:c r="C30" s="2"/>
      <x:c r="D30" s="2"/>
      <x:c r="E30" s="2"/>
      <x:c r="F30" s="2"/>
      <x:c r="G30" s="2"/>
    </x:row>
    <x:row r="31" ht="20" customHeight="1">
      <x:c r="A31" s="2"/>
      <x:c r="B31" s="2"/>
      <x:c r="C31" s="2"/>
      <x:c r="D31" s="2"/>
      <x:c r="E31" s="2"/>
      <x:c r="F31" s="2"/>
      <x:c r="G31" s="2"/>
    </x:row>
    <x:row r="32" ht="20" customHeight="1">
      <x:c r="A32" s="2"/>
      <x:c r="B32" s="2"/>
      <x:c r="C32" s="2"/>
      <x:c r="D32" s="2"/>
      <x:c r="E32" s="2"/>
      <x:c r="F32" s="2"/>
      <x:c r="G32" s="2"/>
    </x:row>
    <x:row r="33" ht="20" customHeight="1">
      <x:c r="A33" s="2"/>
      <x:c r="B33" s="2"/>
      <x:c r="C33" s="2"/>
      <x:c r="D33" s="2"/>
      <x:c r="E33" s="2"/>
      <x:c r="F33" s="2"/>
      <x:c r="G33" s="2"/>
    </x:row>
    <x:row r="34" ht="20" customHeight="1">
      <x:c r="A34" s="2"/>
      <x:c r="B34" s="2"/>
      <x:c r="C34" s="2"/>
      <x:c r="D34" s="2"/>
      <x:c r="E34" s="2"/>
      <x:c r="F34" s="2"/>
      <x:c r="G34" s="2"/>
    </x:row>
    <x:row r="35" ht="20" customHeight="1">
      <x:c r="A35" s="2"/>
      <x:c r="B35" s="2"/>
      <x:c r="C35" s="2"/>
      <x:c r="D35" s="2"/>
      <x:c r="E35" s="2"/>
      <x:c r="F35" s="2"/>
      <x:c r="G35" s="2"/>
    </x:row>
    <x:row r="36" ht="20" customHeight="1">
      <x:c r="A36" s="2"/>
      <x:c r="B36" s="2"/>
      <x:c r="C36" s="2"/>
      <x:c r="D36" s="2"/>
      <x:c r="E36" s="2"/>
      <x:c r="F36" s="2"/>
      <x:c r="G36" s="2"/>
    </x:row>
    <x:row r="37" ht="20" customHeight="1">
      <x:c r="A37" s="2"/>
      <x:c r="B37" s="2"/>
      <x:c r="C37" s="2"/>
      <x:c r="D37" s="2"/>
      <x:c r="E37" s="2"/>
      <x:c r="F37" s="2"/>
      <x:c r="G37" s="2"/>
    </x:row>
    <x:row r="38" ht="20" customHeight="1">
      <x:c r="A38" s="2"/>
      <x:c r="B38" s="2"/>
      <x:c r="C38" s="2"/>
      <x:c r="D38" s="2"/>
      <x:c r="E38" s="2"/>
      <x:c r="F38" s="2"/>
      <x:c r="G38" s="2"/>
    </x:row>
    <x:row r="39" ht="20" customHeight="1">
      <x:c r="A39" s="2"/>
      <x:c r="B39" s="2"/>
      <x:c r="C39" s="2"/>
      <x:c r="D39" s="2"/>
      <x:c r="E39" s="2"/>
      <x:c r="F39" s="2"/>
      <x:c r="G39" s="2"/>
    </x:row>
    <x:row r="40" ht="20" customHeight="1">
      <x:c r="A40" s="2"/>
      <x:c r="B40" s="2"/>
      <x:c r="C40" s="2"/>
      <x:c r="D40" s="2"/>
      <x:c r="E40" s="2"/>
      <x:c r="F40" s="2"/>
      <x:c r="G40" s="2"/>
    </x:row>
    <x:row r="41" ht="20" customHeight="1">
      <x:c r="A41" s="2"/>
      <x:c r="B41" s="2"/>
      <x:c r="C41" s="2"/>
      <x:c r="D41" s="2"/>
      <x:c r="E41" s="2"/>
      <x:c r="F41" s="2"/>
      <x:c r="G41" s="2"/>
    </x:row>
    <x:row r="42" ht="20" customHeight="1">
      <x:c r="A42" s="2"/>
      <x:c r="B42" s="2"/>
      <x:c r="C42" s="2"/>
      <x:c r="D42" s="2"/>
      <x:c r="E42" s="2"/>
      <x:c r="F42" s="2"/>
      <x:c r="G42" s="2"/>
    </x:row>
    <x:row r="43" ht="20" customHeight="1">
      <x:c r="A43" s="2"/>
      <x:c r="B43" s="2"/>
      <x:c r="C43" s="2"/>
      <x:c r="D43" s="2"/>
      <x:c r="E43" s="2"/>
      <x:c r="F43" s="2"/>
      <x:c r="G43" s="2"/>
    </x:row>
    <x:row r="44" ht="20" customHeight="1">
      <x:c r="A44" s="2"/>
      <x:c r="B44" s="2"/>
      <x:c r="C44" s="2"/>
      <x:c r="D44" s="2"/>
      <x:c r="E44" s="2"/>
      <x:c r="F44" s="2"/>
      <x:c r="G44" s="2"/>
    </x:row>
    <x:row r="45" ht="20" customHeight="1">
      <x:c r="A45" s="2"/>
      <x:c r="B45" s="2"/>
      <x:c r="C45" s="2"/>
      <x:c r="D45" s="2"/>
      <x:c r="E45" s="2"/>
      <x:c r="F45" s="2"/>
      <x:c r="G45" s="2"/>
    </x:row>
    <x:row r="46" ht="20" customHeight="1">
      <x:c r="A46" s="2"/>
      <x:c r="B46" s="2"/>
      <x:c r="C46" s="2"/>
      <x:c r="D46" s="2"/>
      <x:c r="E46" s="2"/>
      <x:c r="F46" s="2"/>
      <x:c r="G46" s="2"/>
    </x:row>
    <x:row r="47" ht="20" customHeight="1">
      <x:c r="A47" s="2"/>
      <x:c r="B47" s="2"/>
      <x:c r="C47" s="2"/>
      <x:c r="D47" s="2"/>
      <x:c r="E47" s="2"/>
      <x:c r="F47" s="2"/>
      <x:c r="G47" s="2"/>
    </x:row>
    <x:row r="48" ht="20" customHeight="1">
      <x:c r="A48" s="2"/>
      <x:c r="B48" s="2"/>
      <x:c r="C48" s="2"/>
      <x:c r="D48" s="2"/>
      <x:c r="E48" s="2"/>
      <x:c r="F48" s="2"/>
      <x:c r="G48" s="2"/>
    </x:row>
    <x:row r="49" ht="20" customHeight="1">
      <x:c r="A49" s="2"/>
      <x:c r="B49" s="2"/>
      <x:c r="C49" s="2"/>
      <x:c r="D49" s="2"/>
      <x:c r="E49" s="2"/>
      <x:c r="F49" s="2"/>
      <x:c r="G49" s="2"/>
    </x:row>
    <x:row r="50" ht="20" customHeight="1">
      <x:c r="A50" s="2"/>
      <x:c r="B50" s="2"/>
      <x:c r="C50" s="2"/>
      <x:c r="D50" s="2"/>
      <x:c r="E50" s="2"/>
      <x:c r="F50" s="2"/>
      <x:c r="G50" s="2"/>
    </x:row>
    <x:row r="51" ht="20" customHeight="1">
      <x:c r="A51" s="2"/>
      <x:c r="B51" s="2"/>
      <x:c r="C51" s="2"/>
      <x:c r="D51" s="2"/>
      <x:c r="E51" s="2"/>
      <x:c r="F51" s="2"/>
      <x:c r="G51" s="2"/>
    </x:row>
    <x:row r="52" ht="20" customHeight="1">
      <x:c r="A52" s="2"/>
      <x:c r="B52" s="2"/>
      <x:c r="C52" s="2"/>
      <x:c r="D52" s="2"/>
      <x:c r="E52" s="2"/>
      <x:c r="F52" s="2"/>
      <x:c r="G52" s="2"/>
    </x:row>
    <x:row r="53" ht="20" customHeight="1">
      <x:c r="A53" s="2"/>
      <x:c r="B53" s="2"/>
      <x:c r="C53" s="2"/>
      <x:c r="D53" s="2"/>
      <x:c r="E53" s="2"/>
      <x:c r="F53" s="2"/>
      <x:c r="G53" s="2"/>
    </x:row>
    <x:row r="54" ht="20" customHeight="1">
      <x:c r="A54" s="2"/>
      <x:c r="B54" s="2"/>
      <x:c r="C54" s="2"/>
      <x:c r="D54" s="2"/>
      <x:c r="E54" s="2"/>
      <x:c r="F54" s="2"/>
      <x:c r="G54" s="2"/>
    </x:row>
    <x:row r="55" ht="20" customHeight="1">
      <x:c r="A55" s="2"/>
      <x:c r="B55" s="2"/>
      <x:c r="C55" s="2"/>
      <x:c r="D55" s="2"/>
      <x:c r="E55" s="2"/>
      <x:c r="F55" s="2"/>
      <x:c r="G55" s="2"/>
    </x:row>
    <x:row r="56" ht="20" customHeight="1">
      <x:c r="A56" s="2"/>
      <x:c r="B56" s="2"/>
      <x:c r="C56" s="2"/>
      <x:c r="D56" s="2"/>
      <x:c r="E56" s="2"/>
      <x:c r="F56" s="2"/>
      <x:c r="G56" s="2"/>
    </x:row>
    <x:row r="57" ht="20" customHeight="1">
      <x:c r="A57" s="2"/>
      <x:c r="B57" s="2"/>
      <x:c r="C57" s="2"/>
      <x:c r="D57" s="2"/>
      <x:c r="E57" s="2"/>
      <x:c r="F57" s="2"/>
      <x:c r="G57" s="2"/>
    </x:row>
    <x:row r="58" ht="20" customHeight="1">
      <x:c r="A58" s="2"/>
      <x:c r="B58" s="2"/>
      <x:c r="C58" s="2"/>
      <x:c r="D58" s="2"/>
      <x:c r="E58" s="2"/>
      <x:c r="F58" s="2"/>
      <x:c r="G58" s="2"/>
    </x:row>
    <x:row r="59" ht="20" customHeight="1">
      <x:c r="A59" s="2"/>
      <x:c r="B59" s="2"/>
      <x:c r="C59" s="2"/>
      <x:c r="D59" s="2"/>
      <x:c r="E59" s="2"/>
      <x:c r="F59" s="2"/>
      <x:c r="G59" s="2"/>
    </x:row>
    <x:row r="60" ht="20" customHeight="1">
      <x:c r="A60" s="2"/>
      <x:c r="B60" s="2"/>
      <x:c r="C60" s="2"/>
      <x:c r="D60" s="2"/>
      <x:c r="E60" s="2"/>
      <x:c r="F60" s="2"/>
      <x:c r="G60" s="2"/>
    </x:row>
    <x:row r="61" ht="20" customHeight="1">
      <x:c r="A61" s="2"/>
      <x:c r="B61" s="2"/>
      <x:c r="C61" s="2"/>
      <x:c r="D61" s="2"/>
      <x:c r="E61" s="2"/>
      <x:c r="F61" s="2"/>
      <x:c r="G61" s="2"/>
    </x:row>
    <x:row r="62" ht="20" customHeight="1">
      <x:c r="A62" s="2"/>
      <x:c r="B62" s="2"/>
      <x:c r="C62" s="2"/>
      <x:c r="D62" s="2"/>
      <x:c r="E62" s="2"/>
      <x:c r="F62" s="2"/>
      <x:c r="G62" s="2"/>
    </x:row>
    <x:row r="63" ht="20" customHeight="1">
      <x:c r="A63" s="2"/>
      <x:c r="B63" s="2"/>
      <x:c r="C63" s="2"/>
      <x:c r="D63" s="2"/>
      <x:c r="E63" s="2"/>
      <x:c r="F63" s="2"/>
      <x:c r="G63" s="2"/>
    </x:row>
    <x:row r="64" ht="20" customHeight="1">
      <x:c r="A64" s="2"/>
      <x:c r="B64" s="2"/>
      <x:c r="C64" s="2"/>
      <x:c r="D64" s="2"/>
      <x:c r="E64" s="2"/>
      <x:c r="F64" s="2"/>
      <x:c r="G64" s="2"/>
    </x:row>
    <x:row r="65" ht="20" customHeight="1">
      <x:c r="A65" s="2"/>
      <x:c r="B65" s="2"/>
      <x:c r="C65" s="2"/>
      <x:c r="D65" s="2"/>
      <x:c r="E65" s="2"/>
      <x:c r="F65" s="2"/>
      <x:c r="G65" s="2"/>
    </x:row>
    <x:row r="66" ht="20" customHeight="1">
      <x:c r="A66" s="2"/>
      <x:c r="B66" s="2"/>
      <x:c r="C66" s="2"/>
      <x:c r="D66" s="2"/>
      <x:c r="E66" s="2"/>
      <x:c r="F66" s="2"/>
      <x:c r="G66" s="2"/>
    </x:row>
    <x:row r="67" ht="20" customHeight="1">
      <x:c r="A67" s="2"/>
      <x:c r="B67" s="2"/>
      <x:c r="C67" s="2"/>
      <x:c r="D67" s="2"/>
      <x:c r="E67" s="2"/>
      <x:c r="F67" s="2"/>
      <x:c r="G67" s="2"/>
    </x:row>
    <x:row r="68" ht="20" customHeight="1">
      <x:c r="A68" s="2"/>
      <x:c r="B68" s="2"/>
      <x:c r="C68" s="2"/>
      <x:c r="D68" s="2"/>
      <x:c r="E68" s="2"/>
      <x:c r="F68" s="2"/>
      <x:c r="G68" s="2"/>
    </x:row>
    <x:row r="69" ht="20" customHeight="1">
      <x:c r="A69" s="2"/>
      <x:c r="B69" s="2"/>
      <x:c r="C69" s="2"/>
      <x:c r="D69" s="2"/>
      <x:c r="E69" s="2"/>
      <x:c r="F69" s="2"/>
      <x:c r="G69" s="2"/>
    </x:row>
    <x:row r="70" ht="20" customHeight="1">
      <x:c r="A70" s="2"/>
      <x:c r="B70" s="2"/>
      <x:c r="C70" s="2"/>
      <x:c r="D70" s="2"/>
      <x:c r="E70" s="2"/>
      <x:c r="F70" s="2"/>
      <x:c r="G70" s="2"/>
    </x:row>
    <x:row r="71" ht="20" customHeight="1">
      <x:c r="A71" s="2"/>
      <x:c r="B71" s="2"/>
      <x:c r="C71" s="2"/>
      <x:c r="D71" s="2"/>
      <x:c r="E71" s="2"/>
      <x:c r="F71" s="2"/>
      <x:c r="G71" s="2"/>
    </x:row>
    <x:row r="72" ht="20" customHeight="1">
      <x:c r="A72" s="2"/>
      <x:c r="B72" s="2"/>
      <x:c r="C72" s="2"/>
      <x:c r="D72" s="2"/>
      <x:c r="E72" s="2"/>
      <x:c r="F72" s="2"/>
      <x:c r="G72" s="2"/>
    </x:row>
    <x:row r="73" ht="20" customHeight="1">
      <x:c r="A73" s="2"/>
      <x:c r="B73" s="2"/>
      <x:c r="C73" s="2"/>
      <x:c r="D73" s="2"/>
      <x:c r="E73" s="2"/>
      <x:c r="F73" s="2"/>
      <x:c r="G73" s="2"/>
    </x:row>
    <x:row r="74" ht="20" customHeight="1">
      <x:c r="A74" s="2"/>
      <x:c r="B74" s="2"/>
      <x:c r="C74" s="2"/>
      <x:c r="D74" s="2"/>
      <x:c r="E74" s="2"/>
      <x:c r="F74" s="2"/>
      <x:c r="G74" s="2"/>
    </x:row>
    <x:row r="75" ht="20" customHeight="1">
      <x:c r="A75" s="2"/>
      <x:c r="B75" s="2"/>
      <x:c r="C75" s="2"/>
      <x:c r="D75" s="2"/>
      <x:c r="E75" s="2"/>
      <x:c r="F75" s="2"/>
      <x:c r="G75" s="2"/>
    </x:row>
    <x:row r="76" ht="20" customHeight="1">
      <x:c r="A76" s="2"/>
      <x:c r="B76" s="2"/>
      <x:c r="C76" s="2"/>
      <x:c r="D76" s="2"/>
      <x:c r="E76" s="2"/>
      <x:c r="F76" s="2"/>
      <x:c r="G76" s="2"/>
    </x:row>
    <x:row r="77" ht="20" customHeight="1">
      <x:c r="A77" s="2"/>
      <x:c r="B77" s="2"/>
      <x:c r="C77" s="2"/>
      <x:c r="D77" s="2"/>
      <x:c r="E77" s="2"/>
      <x:c r="F77" s="2"/>
      <x:c r="G77" s="2"/>
    </x:row>
    <x:row r="78" ht="20" customHeight="1">
      <x:c r="A78" s="2"/>
      <x:c r="B78" s="2"/>
      <x:c r="C78" s="2"/>
      <x:c r="D78" s="2"/>
      <x:c r="E78" s="2"/>
      <x:c r="F78" s="2"/>
      <x:c r="G78" s="2"/>
    </x:row>
    <x:row r="79" ht="20" customHeight="1">
      <x:c r="A79" s="2"/>
      <x:c r="B79" s="2"/>
      <x:c r="C79" s="2"/>
      <x:c r="D79" s="2"/>
      <x:c r="E79" s="2"/>
      <x:c r="F79" s="2"/>
      <x:c r="G79" s="2"/>
    </x:row>
    <x:row r="80" ht="20" customHeight="1">
      <x:c r="A80" s="2"/>
      <x:c r="B80" s="2"/>
      <x:c r="C80" s="2"/>
      <x:c r="D80" s="2"/>
      <x:c r="E80" s="2"/>
      <x:c r="F80" s="2"/>
      <x:c r="G80" s="2"/>
    </x:row>
    <x:row r="81" ht="20" customHeight="1">
      <x:c r="A81" s="2"/>
      <x:c r="B81" s="2"/>
      <x:c r="C81" s="2"/>
      <x:c r="D81" s="2"/>
      <x:c r="E81" s="2"/>
      <x:c r="F81" s="2"/>
      <x:c r="G81" s="2"/>
    </x:row>
    <x:row r="82" ht="20" customHeight="1">
      <x:c r="A82" s="2"/>
      <x:c r="B82" s="2"/>
      <x:c r="C82" s="2"/>
      <x:c r="D82" s="2"/>
      <x:c r="E82" s="2"/>
      <x:c r="F82" s="2"/>
      <x:c r="G82" s="2"/>
    </x:row>
    <x:row r="83" ht="20" customHeight="1">
      <x:c r="A83" s="2"/>
      <x:c r="B83" s="2"/>
      <x:c r="C83" s="2"/>
      <x:c r="D83" s="2"/>
      <x:c r="E83" s="2"/>
      <x:c r="F83" s="2"/>
      <x:c r="G83" s="2"/>
    </x:row>
    <x:row r="84" ht="20" customHeight="1">
      <x:c r="A84" s="2"/>
      <x:c r="B84" s="2"/>
      <x:c r="C84" s="2"/>
      <x:c r="D84" s="2"/>
      <x:c r="E84" s="2"/>
      <x:c r="F84" s="2"/>
      <x:c r="G84" s="2"/>
    </x:row>
    <x:row r="85" ht="20" customHeight="1">
      <x:c r="A85" s="2"/>
      <x:c r="B85" s="2"/>
      <x:c r="C85" s="2"/>
      <x:c r="D85" s="2"/>
      <x:c r="E85" s="2"/>
      <x:c r="F85" s="2"/>
      <x:c r="G85" s="2"/>
    </x:row>
    <x:row r="86" ht="20" customHeight="1">
      <x:c r="A86" s="2"/>
      <x:c r="B86" s="2"/>
      <x:c r="C86" s="2"/>
      <x:c r="D86" s="2"/>
      <x:c r="E86" s="2"/>
      <x:c r="F86" s="2"/>
      <x:c r="G86" s="2"/>
    </x:row>
    <x:row r="87" ht="20" customHeight="1">
      <x:c r="A87" s="2"/>
      <x:c r="B87" s="2"/>
      <x:c r="C87" s="2"/>
      <x:c r="D87" s="2"/>
      <x:c r="E87" s="2"/>
      <x:c r="F87" s="2"/>
      <x:c r="G87" s="2"/>
    </x:row>
    <x:row r="88" ht="20" customHeight="1">
      <x:c r="A88" s="2"/>
      <x:c r="B88" s="2"/>
      <x:c r="C88" s="2"/>
      <x:c r="D88" s="2"/>
      <x:c r="E88" s="2"/>
      <x:c r="F88" s="2"/>
      <x:c r="G88" s="2"/>
    </x:row>
    <x:row r="89" ht="20" customHeight="1">
      <x:c r="A89" s="2"/>
      <x:c r="B89" s="2"/>
      <x:c r="C89" s="2"/>
      <x:c r="D89" s="2"/>
      <x:c r="E89" s="2"/>
      <x:c r="F89" s="2"/>
      <x:c r="G89" s="2"/>
    </x:row>
    <x:row r="90" ht="20" customHeight="1">
      <x:c r="A90" s="2"/>
      <x:c r="B90" s="2"/>
      <x:c r="C90" s="2"/>
      <x:c r="D90" s="2"/>
      <x:c r="E90" s="2"/>
      <x:c r="F90" s="2"/>
      <x:c r="G90" s="2"/>
    </x:row>
    <x:row r="91" ht="20" customHeight="1">
      <x:c r="A91" s="2"/>
      <x:c r="B91" s="2"/>
      <x:c r="C91" s="2"/>
      <x:c r="D91" s="2"/>
      <x:c r="E91" s="2"/>
      <x:c r="F91" s="2"/>
      <x:c r="G91" s="2"/>
    </x:row>
    <x:row r="92" ht="20" customHeight="1">
      <x:c r="A92" s="2"/>
      <x:c r="B92" s="2"/>
      <x:c r="C92" s="2"/>
      <x:c r="D92" s="2"/>
      <x:c r="E92" s="2"/>
      <x:c r="F92" s="2"/>
      <x:c r="G92" s="2"/>
    </x:row>
    <x:row r="93" ht="20" customHeight="1">
      <x:c r="A93" s="2"/>
      <x:c r="B93" s="2"/>
      <x:c r="C93" s="2"/>
      <x:c r="D93" s="2"/>
      <x:c r="E93" s="2"/>
      <x:c r="F93" s="2"/>
      <x:c r="G93" s="2"/>
    </x:row>
    <x:row r="94" ht="20" customHeight="1">
      <x:c r="A94" s="2"/>
      <x:c r="B94" s="2"/>
      <x:c r="C94" s="2"/>
      <x:c r="D94" s="2"/>
      <x:c r="E94" s="2"/>
      <x:c r="F94" s="2"/>
      <x:c r="G94" s="2"/>
    </x:row>
    <x:row r="95" ht="20" customHeight="1">
      <x:c r="A95" s="2"/>
      <x:c r="B95" s="2"/>
      <x:c r="C95" s="2"/>
      <x:c r="D95" s="2"/>
      <x:c r="E95" s="2"/>
      <x:c r="F95" s="2"/>
      <x:c r="G95" s="2"/>
    </x:row>
    <x:row r="96" ht="20" customHeight="1">
      <x:c r="A96" s="2"/>
      <x:c r="B96" s="2"/>
      <x:c r="C96" s="2"/>
      <x:c r="D96" s="2"/>
      <x:c r="E96" s="2"/>
      <x:c r="F96" s="2"/>
      <x:c r="G96" s="2"/>
    </x:row>
    <x:row r="97" ht="20" customHeight="1">
      <x:c r="A97" s="2"/>
      <x:c r="B97" s="2"/>
      <x:c r="C97" s="2"/>
      <x:c r="D97" s="2"/>
      <x:c r="E97" s="2"/>
      <x:c r="F97" s="2"/>
      <x:c r="G97" s="2"/>
    </x:row>
    <x:row r="98" ht="20" customHeight="1">
      <x:c r="A98" s="2"/>
      <x:c r="B98" s="2"/>
      <x:c r="C98" s="2"/>
      <x:c r="D98" s="2"/>
      <x:c r="E98" s="2"/>
      <x:c r="F98" s="2"/>
      <x:c r="G98" s="2"/>
    </x:row>
    <x:row r="99" ht="20" customHeight="1">
      <x:c r="A99" s="2"/>
      <x:c r="B99" s="2"/>
      <x:c r="C99" s="2"/>
      <x:c r="D99" s="2"/>
      <x:c r="E99" s="2"/>
      <x:c r="F99" s="2"/>
      <x:c r="G99" s="2"/>
    </x:row>
    <x:row r="100" ht="20" customHeight="1">
      <x:c r="A100" s="2"/>
      <x:c r="B100" s="2"/>
      <x:c r="C100" s="2"/>
      <x:c r="D100" s="2"/>
      <x:c r="E100" s="2"/>
      <x:c r="F100" s="2"/>
      <x:c r="G100" s="2"/>
    </x:row>
  </x:sheetData>
  <x:mergeCells>
    <x:mergeCell ref="A1:G1"/>
    <x:mergeCell ref="A2:G2"/>
  </x:mergeCells>
  <x:pageMargins left="0.7" right="0.7" top="0.75" bottom="0.75" header="0.3" footer="0.3"/>
</x:worksheet>
</file>